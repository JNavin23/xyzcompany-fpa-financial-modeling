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FP&amp;A\XYZCompany_FY2026\"/>
    </mc:Choice>
  </mc:AlternateContent>
  <xr:revisionPtr revIDLastSave="0" documentId="13_ncr:1_{B2658746-A8F8-4E9D-A965-7F74B3753524}" xr6:coauthVersionLast="47" xr6:coauthVersionMax="47" xr10:uidLastSave="{00000000-0000-0000-0000-000000000000}"/>
  <bookViews>
    <workbookView xWindow="-108" yWindow="-108" windowWidth="23256" windowHeight="12456" firstSheet="12" activeTab="17" xr2:uid="{67BE747B-EDC2-4750-81C6-B7BC7F43D148}"/>
  </bookViews>
  <sheets>
    <sheet name="XYZ_RAW" sheetId="1" r:id="rId1"/>
    <sheet name="Data_Validation" sheetId="2" r:id="rId2"/>
    <sheet name="Data_Profiling" sheetId="3" r:id="rId3"/>
    <sheet name="Budget_Assumptions" sheetId="4" r:id="rId4"/>
    <sheet name="FY2027_Budget" sheetId="5" r:id="rId5"/>
    <sheet name="FY2027_Actuals" sheetId="7" r:id="rId6"/>
    <sheet name="Actual_vs_Budget" sheetId="6" r:id="rId7"/>
    <sheet name="FP&amp;A Dashboard" sheetId="8" r:id="rId8"/>
    <sheet name="Model_Assumptions" sheetId="9" r:id="rId9"/>
    <sheet name="Revenue_Model" sheetId="10" r:id="rId10"/>
    <sheet name="Cost_Model" sheetId="11" r:id="rId11"/>
    <sheet name="P&amp;L_Forecast" sheetId="12" r:id="rId12"/>
    <sheet name="Cash_Flow" sheetId="13" r:id="rId13"/>
    <sheet name="Balance Sheet" sheetId="14" r:id="rId14"/>
    <sheet name="3-Statement Model" sheetId="15" r:id="rId15"/>
    <sheet name="Scenario Analysis" sheetId="16" r:id="rId16"/>
    <sheet name="DCF_Valuation" sheetId="17" r:id="rId17"/>
    <sheet name="DCF_Sensitivity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8" l="1"/>
  <c r="C8" i="18"/>
  <c r="D8" i="18"/>
  <c r="E8" i="18"/>
  <c r="F8" i="18"/>
  <c r="B9" i="18"/>
  <c r="C9" i="18"/>
  <c r="D9" i="18"/>
  <c r="E9" i="18"/>
  <c r="F9" i="18"/>
  <c r="B10" i="18"/>
  <c r="C10" i="18"/>
  <c r="D10" i="18"/>
  <c r="E10" i="18"/>
  <c r="F10" i="18"/>
  <c r="B11" i="18"/>
  <c r="C11" i="18"/>
  <c r="D11" i="18"/>
  <c r="E11" i="18"/>
  <c r="F11" i="18"/>
  <c r="C7" i="18"/>
  <c r="D7" i="18"/>
  <c r="E7" i="18"/>
  <c r="F7" i="18"/>
  <c r="B7" i="18"/>
  <c r="B25" i="17"/>
  <c r="B26" i="17" s="1"/>
  <c r="B29" i="17" s="1"/>
  <c r="B24" i="17"/>
  <c r="B28" i="17"/>
  <c r="B27" i="17"/>
  <c r="B23" i="17"/>
  <c r="B19" i="17"/>
  <c r="B18" i="17"/>
  <c r="B17" i="17"/>
  <c r="B16" i="17"/>
  <c r="B15" i="17"/>
  <c r="B14" i="17"/>
  <c r="B13" i="17"/>
  <c r="B8" i="17"/>
  <c r="B7" i="17"/>
  <c r="B6" i="17"/>
  <c r="D21" i="16"/>
  <c r="C21" i="16"/>
  <c r="B21" i="16"/>
  <c r="D20" i="16"/>
  <c r="C20" i="16"/>
  <c r="B20" i="16"/>
  <c r="D19" i="16"/>
  <c r="C19" i="16"/>
  <c r="B19" i="16"/>
  <c r="C15" i="16"/>
  <c r="D15" i="16"/>
  <c r="B15" i="16"/>
  <c r="C14" i="16"/>
  <c r="D14" i="16"/>
  <c r="B14" i="16"/>
  <c r="C13" i="16"/>
  <c r="D13" i="16"/>
  <c r="B13" i="16"/>
  <c r="C12" i="16"/>
  <c r="D12" i="16"/>
  <c r="B12" i="16"/>
  <c r="D11" i="16"/>
  <c r="C11" i="16"/>
  <c r="B11" i="16"/>
  <c r="D10" i="16"/>
  <c r="C10" i="16"/>
  <c r="B10" i="16"/>
  <c r="B27" i="15"/>
  <c r="B12" i="15"/>
  <c r="B11" i="15"/>
  <c r="B10" i="15"/>
  <c r="B9" i="15"/>
  <c r="B8" i="15"/>
  <c r="B37" i="14"/>
  <c r="B35" i="14"/>
  <c r="B33" i="14"/>
  <c r="B32" i="14"/>
  <c r="B31" i="14"/>
  <c r="B29" i="14"/>
  <c r="B27" i="14"/>
  <c r="B25" i="14"/>
  <c r="B23" i="14"/>
  <c r="B22" i="14"/>
  <c r="B21" i="14"/>
  <c r="B17" i="14"/>
  <c r="B15" i="14"/>
  <c r="B14" i="14"/>
  <c r="B13" i="14"/>
  <c r="B11" i="14"/>
  <c r="B8" i="14"/>
  <c r="B9" i="14"/>
  <c r="B10" i="14"/>
  <c r="B21" i="13"/>
  <c r="B18" i="13"/>
  <c r="B12" i="13"/>
  <c r="B11" i="13"/>
  <c r="B9" i="13"/>
  <c r="B8" i="13"/>
  <c r="B6" i="13"/>
  <c r="B17" i="12"/>
  <c r="B18" i="12" s="1"/>
  <c r="B16" i="12"/>
  <c r="B15" i="12"/>
  <c r="B12" i="12"/>
  <c r="B11" i="12"/>
  <c r="B8" i="12"/>
  <c r="B7" i="12"/>
  <c r="B6" i="12"/>
  <c r="B5" i="12"/>
  <c r="B21" i="11"/>
  <c r="B20" i="11"/>
  <c r="B19" i="11"/>
  <c r="B18" i="11"/>
  <c r="B15" i="11"/>
  <c r="B14" i="11"/>
  <c r="B13" i="11"/>
  <c r="E10" i="11"/>
  <c r="E6" i="11"/>
  <c r="E7" i="11"/>
  <c r="E8" i="11"/>
  <c r="E9" i="11"/>
  <c r="E5" i="11"/>
  <c r="D10" i="11"/>
  <c r="D6" i="11"/>
  <c r="D7" i="11"/>
  <c r="D8" i="11"/>
  <c r="D9" i="11"/>
  <c r="D5" i="11"/>
  <c r="C9" i="11"/>
  <c r="C8" i="11"/>
  <c r="C7" i="11"/>
  <c r="C6" i="11"/>
  <c r="C5" i="11"/>
  <c r="B10" i="11"/>
  <c r="B9" i="11"/>
  <c r="B8" i="11"/>
  <c r="B7" i="11"/>
  <c r="B6" i="11"/>
  <c r="B5" i="11"/>
  <c r="B10" i="10"/>
  <c r="E8" i="10"/>
  <c r="E5" i="10"/>
  <c r="E6" i="10"/>
  <c r="E7" i="10"/>
  <c r="D6" i="10"/>
  <c r="D7" i="10"/>
  <c r="D5" i="10"/>
  <c r="B8" i="10"/>
  <c r="B7" i="10"/>
  <c r="B6" i="10"/>
  <c r="B5" i="10"/>
  <c r="D6" i="8"/>
  <c r="J6" i="8"/>
  <c r="G6" i="8"/>
  <c r="A6" i="8"/>
  <c r="R58" i="6"/>
  <c r="Q58" i="6"/>
  <c r="P58" i="6"/>
  <c r="R57" i="6"/>
  <c r="Q57" i="6"/>
  <c r="P57" i="6"/>
  <c r="R56" i="6"/>
  <c r="Q56" i="6"/>
  <c r="P56" i="6"/>
  <c r="O51" i="6"/>
  <c r="O49" i="6"/>
  <c r="P46" i="6"/>
  <c r="Q46" i="6"/>
  <c r="R46" i="6"/>
  <c r="Q35" i="6"/>
  <c r="R35" i="6"/>
  <c r="Q36" i="6"/>
  <c r="R36" i="6"/>
  <c r="Q37" i="6"/>
  <c r="R37" i="6"/>
  <c r="Q38" i="6"/>
  <c r="R38" i="6"/>
  <c r="Q39" i="6"/>
  <c r="R39" i="6"/>
  <c r="Q40" i="6"/>
  <c r="R40" i="6"/>
  <c r="Q41" i="6"/>
  <c r="R41" i="6"/>
  <c r="Q42" i="6"/>
  <c r="R42" i="6"/>
  <c r="Q43" i="6"/>
  <c r="R43" i="6"/>
  <c r="Q44" i="6"/>
  <c r="R44" i="6"/>
  <c r="Q45" i="6"/>
  <c r="R45" i="6"/>
  <c r="P36" i="6"/>
  <c r="P37" i="6"/>
  <c r="P38" i="6"/>
  <c r="P39" i="6"/>
  <c r="P40" i="6"/>
  <c r="P41" i="6"/>
  <c r="P42" i="6"/>
  <c r="P43" i="6"/>
  <c r="P44" i="6"/>
  <c r="P45" i="6"/>
  <c r="O46" i="6"/>
  <c r="O36" i="6"/>
  <c r="O37" i="6"/>
  <c r="O38" i="6"/>
  <c r="O39" i="6"/>
  <c r="O40" i="6"/>
  <c r="O41" i="6"/>
  <c r="O42" i="6"/>
  <c r="O43" i="6"/>
  <c r="O44" i="6"/>
  <c r="O45" i="6"/>
  <c r="P35" i="6"/>
  <c r="O35" i="6"/>
  <c r="P24" i="6"/>
  <c r="P23" i="6"/>
  <c r="P22" i="6"/>
  <c r="P21" i="6"/>
  <c r="P18" i="6"/>
  <c r="P17" i="6"/>
  <c r="P16" i="6"/>
  <c r="P15" i="6"/>
  <c r="P14" i="6"/>
  <c r="P13" i="6"/>
  <c r="P12" i="6"/>
  <c r="P11" i="6"/>
  <c r="I3" i="7"/>
  <c r="I4" i="7"/>
  <c r="I5" i="7"/>
  <c r="I6" i="7"/>
  <c r="I7" i="7"/>
  <c r="I8" i="7"/>
  <c r="I9" i="7"/>
  <c r="I10" i="7"/>
  <c r="I11" i="7"/>
  <c r="I12" i="7"/>
  <c r="I13" i="7"/>
  <c r="I2" i="7"/>
  <c r="H3" i="7"/>
  <c r="H4" i="7"/>
  <c r="H5" i="7"/>
  <c r="H6" i="7"/>
  <c r="H7" i="7"/>
  <c r="H8" i="7"/>
  <c r="H9" i="7"/>
  <c r="H10" i="7"/>
  <c r="H11" i="7"/>
  <c r="H12" i="7"/>
  <c r="H13" i="7"/>
  <c r="H2" i="7"/>
  <c r="D4" i="7"/>
  <c r="D5" i="7"/>
  <c r="D6" i="7"/>
  <c r="D7" i="7"/>
  <c r="D8" i="7"/>
  <c r="D9" i="7"/>
  <c r="D10" i="7"/>
  <c r="D11" i="7"/>
  <c r="D12" i="7"/>
  <c r="D13" i="7"/>
  <c r="D3" i="7"/>
  <c r="F3" i="7"/>
  <c r="F4" i="7"/>
  <c r="F5" i="7"/>
  <c r="F6" i="7"/>
  <c r="F7" i="7"/>
  <c r="F8" i="7"/>
  <c r="F9" i="7"/>
  <c r="F10" i="7"/>
  <c r="F11" i="7"/>
  <c r="F12" i="7"/>
  <c r="F13" i="7"/>
  <c r="A3" i="6"/>
  <c r="A4" i="6"/>
  <c r="A5" i="6"/>
  <c r="A6" i="6"/>
  <c r="A7" i="6"/>
  <c r="A8" i="6"/>
  <c r="A9" i="6"/>
  <c r="A10" i="6"/>
  <c r="A11" i="6"/>
  <c r="A12" i="6"/>
  <c r="A13" i="6"/>
  <c r="A2" i="6"/>
  <c r="M3" i="6"/>
  <c r="M4" i="6"/>
  <c r="M5" i="6"/>
  <c r="M6" i="6"/>
  <c r="M7" i="6"/>
  <c r="M8" i="6"/>
  <c r="M9" i="6"/>
  <c r="M10" i="6"/>
  <c r="M11" i="6"/>
  <c r="M12" i="6"/>
  <c r="M13" i="6"/>
  <c r="J3" i="6"/>
  <c r="J4" i="6"/>
  <c r="J5" i="6"/>
  <c r="L5" i="6" s="1"/>
  <c r="J6" i="6"/>
  <c r="J7" i="6"/>
  <c r="J8" i="6"/>
  <c r="L8" i="6" s="1"/>
  <c r="J9" i="6"/>
  <c r="J10" i="6"/>
  <c r="J11" i="6"/>
  <c r="L11" i="6" s="1"/>
  <c r="J12" i="6"/>
  <c r="L12" i="6" s="1"/>
  <c r="J13" i="6"/>
  <c r="D3" i="6"/>
  <c r="D4" i="6"/>
  <c r="D5" i="6"/>
  <c r="D6" i="6"/>
  <c r="E6" i="6" s="1"/>
  <c r="D7" i="6"/>
  <c r="D8" i="6"/>
  <c r="D9" i="6"/>
  <c r="D10" i="6"/>
  <c r="E10" i="6" s="1"/>
  <c r="D11" i="6"/>
  <c r="E11" i="6" s="1"/>
  <c r="D12" i="6"/>
  <c r="E12" i="6" s="1"/>
  <c r="D13" i="6"/>
  <c r="E13" i="6" s="1"/>
  <c r="B2" i="6"/>
  <c r="J2" i="6" s="1"/>
  <c r="C2" i="6"/>
  <c r="C3" i="6"/>
  <c r="C4" i="6"/>
  <c r="P2" i="6" s="1"/>
  <c r="C5" i="6"/>
  <c r="C6" i="6"/>
  <c r="C7" i="6"/>
  <c r="C8" i="6"/>
  <c r="C9" i="6"/>
  <c r="C10" i="6"/>
  <c r="C11" i="6"/>
  <c r="C12" i="6"/>
  <c r="C13" i="6"/>
  <c r="C22" i="5"/>
  <c r="E3" i="5"/>
  <c r="E4" i="5"/>
  <c r="E5" i="5"/>
  <c r="E6" i="5"/>
  <c r="E7" i="5"/>
  <c r="E8" i="5"/>
  <c r="E9" i="5"/>
  <c r="E10" i="5"/>
  <c r="E11" i="5"/>
  <c r="E12" i="5"/>
  <c r="E13" i="5"/>
  <c r="E2" i="5"/>
  <c r="T22" i="6"/>
  <c r="U22" i="6" s="1"/>
  <c r="U21" i="6"/>
  <c r="T21" i="6"/>
  <c r="S13" i="6"/>
  <c r="T12" i="6"/>
  <c r="T13" i="6" s="1"/>
  <c r="S12" i="6"/>
  <c r="T11" i="6"/>
  <c r="S11" i="6"/>
  <c r="U11" i="6" s="1"/>
  <c r="E2" i="7"/>
  <c r="F2" i="7" s="1"/>
  <c r="C21" i="5"/>
  <c r="L3" i="6"/>
  <c r="L4" i="6"/>
  <c r="L6" i="6"/>
  <c r="L7" i="6"/>
  <c r="L9" i="6"/>
  <c r="I3" i="6"/>
  <c r="I6" i="6"/>
  <c r="I7" i="6"/>
  <c r="I8" i="6"/>
  <c r="I11" i="6"/>
  <c r="I12" i="6"/>
  <c r="H3" i="6"/>
  <c r="H4" i="6"/>
  <c r="I4" i="6" s="1"/>
  <c r="H5" i="6"/>
  <c r="I5" i="6" s="1"/>
  <c r="H6" i="6"/>
  <c r="H7" i="6"/>
  <c r="H8" i="6"/>
  <c r="H9" i="6"/>
  <c r="I9" i="6" s="1"/>
  <c r="H10" i="6"/>
  <c r="I10" i="6" s="1"/>
  <c r="H11" i="6"/>
  <c r="H12" i="6"/>
  <c r="H13" i="6"/>
  <c r="I13" i="6" s="1"/>
  <c r="E3" i="6"/>
  <c r="E4" i="6"/>
  <c r="E5" i="6"/>
  <c r="E7" i="6"/>
  <c r="E8" i="6"/>
  <c r="E9" i="6"/>
  <c r="D2" i="6"/>
  <c r="E2" i="6" s="1"/>
  <c r="K3" i="6"/>
  <c r="G5" i="6"/>
  <c r="C19" i="5"/>
  <c r="C16" i="5"/>
  <c r="I3" i="5"/>
  <c r="J3" i="5" s="1"/>
  <c r="I7" i="5"/>
  <c r="J7" i="5" s="1"/>
  <c r="H3" i="5"/>
  <c r="G3" i="6" s="1"/>
  <c r="H4" i="5"/>
  <c r="I4" i="5" s="1"/>
  <c r="H5" i="5"/>
  <c r="I5" i="5" s="1"/>
  <c r="H6" i="5"/>
  <c r="G6" i="6" s="1"/>
  <c r="H7" i="5"/>
  <c r="G7" i="6" s="1"/>
  <c r="H8" i="5"/>
  <c r="I8" i="5" s="1"/>
  <c r="H9" i="5"/>
  <c r="I9" i="5" s="1"/>
  <c r="H10" i="5"/>
  <c r="I10" i="5" s="1"/>
  <c r="H11" i="5"/>
  <c r="I11" i="5" s="1"/>
  <c r="H12" i="5"/>
  <c r="I12" i="5" s="1"/>
  <c r="H13" i="5"/>
  <c r="G13" i="6" s="1"/>
  <c r="H2" i="5"/>
  <c r="G2" i="6" s="1"/>
  <c r="H2" i="6" s="1"/>
  <c r="I2" i="6" s="1"/>
  <c r="G3" i="5"/>
  <c r="G4" i="5"/>
  <c r="G5" i="5"/>
  <c r="G6" i="5"/>
  <c r="G7" i="5"/>
  <c r="G8" i="5"/>
  <c r="G9" i="5"/>
  <c r="G10" i="5"/>
  <c r="G11" i="5"/>
  <c r="G12" i="5"/>
  <c r="G13" i="5"/>
  <c r="G2" i="5"/>
  <c r="F3" i="5"/>
  <c r="F4" i="5"/>
  <c r="F5" i="5"/>
  <c r="F6" i="5"/>
  <c r="F7" i="5"/>
  <c r="F8" i="5"/>
  <c r="F9" i="5"/>
  <c r="F10" i="5"/>
  <c r="F11" i="5"/>
  <c r="F12" i="5"/>
  <c r="F13" i="5"/>
  <c r="F2" i="5"/>
  <c r="H99" i="3"/>
  <c r="H100" i="3"/>
  <c r="H101" i="3"/>
  <c r="H102" i="3"/>
  <c r="H103" i="3"/>
  <c r="H104" i="3"/>
  <c r="H105" i="3"/>
  <c r="H106" i="3"/>
  <c r="H107" i="3"/>
  <c r="H108" i="3"/>
  <c r="H109" i="3"/>
  <c r="H98" i="3"/>
  <c r="G107" i="3"/>
  <c r="G108" i="3"/>
  <c r="G109" i="3"/>
  <c r="G100" i="3"/>
  <c r="G101" i="3"/>
  <c r="G102" i="3"/>
  <c r="G103" i="3" s="1"/>
  <c r="G104" i="3"/>
  <c r="G105" i="3"/>
  <c r="G106" i="3"/>
  <c r="G99" i="3"/>
  <c r="G98" i="3"/>
  <c r="H84" i="3"/>
  <c r="H85" i="3"/>
  <c r="H86" i="3"/>
  <c r="H87" i="3"/>
  <c r="H88" i="3"/>
  <c r="H89" i="3"/>
  <c r="H90" i="3"/>
  <c r="H91" i="3"/>
  <c r="H92" i="3"/>
  <c r="H93" i="3"/>
  <c r="H94" i="3"/>
  <c r="H83" i="3"/>
  <c r="H68" i="3"/>
  <c r="G85" i="3"/>
  <c r="G86" i="3"/>
  <c r="G87" i="3"/>
  <c r="G88" i="3"/>
  <c r="G89" i="3"/>
  <c r="G90" i="3"/>
  <c r="G91" i="3"/>
  <c r="G92" i="3"/>
  <c r="G93" i="3"/>
  <c r="G94" i="3"/>
  <c r="G84" i="3"/>
  <c r="G83" i="3"/>
  <c r="H69" i="3"/>
  <c r="H70" i="3"/>
  <c r="H71" i="3"/>
  <c r="H72" i="3"/>
  <c r="H73" i="3"/>
  <c r="H74" i="3"/>
  <c r="H75" i="3"/>
  <c r="H76" i="3"/>
  <c r="H77" i="3"/>
  <c r="H78" i="3"/>
  <c r="H79" i="3"/>
  <c r="G69" i="3"/>
  <c r="G70" i="3"/>
  <c r="G71" i="3"/>
  <c r="G72" i="3"/>
  <c r="G73" i="3"/>
  <c r="G74" i="3"/>
  <c r="G75" i="3"/>
  <c r="G76" i="3"/>
  <c r="G77" i="3"/>
  <c r="G78" i="3"/>
  <c r="G79" i="3"/>
  <c r="G68" i="3"/>
  <c r="D3" i="5"/>
  <c r="D4" i="5"/>
  <c r="D5" i="5"/>
  <c r="D6" i="5"/>
  <c r="D7" i="5"/>
  <c r="D8" i="5"/>
  <c r="D9" i="5"/>
  <c r="D10" i="5"/>
  <c r="D11" i="5"/>
  <c r="D12" i="5"/>
  <c r="D13" i="5"/>
  <c r="D2" i="5"/>
  <c r="H54" i="3"/>
  <c r="H55" i="3"/>
  <c r="H56" i="3"/>
  <c r="H57" i="3"/>
  <c r="H58" i="3"/>
  <c r="H59" i="3"/>
  <c r="H60" i="3"/>
  <c r="H61" i="3"/>
  <c r="H62" i="3"/>
  <c r="H63" i="3"/>
  <c r="H64" i="3"/>
  <c r="H53" i="3"/>
  <c r="G55" i="3"/>
  <c r="G56" i="3"/>
  <c r="G57" i="3"/>
  <c r="G58" i="3" s="1"/>
  <c r="G59" i="3"/>
  <c r="G60" i="3" s="1"/>
  <c r="G61" i="3"/>
  <c r="G62" i="3" s="1"/>
  <c r="G63" i="3"/>
  <c r="G64" i="3"/>
  <c r="G54" i="3"/>
  <c r="G53" i="3"/>
  <c r="H47" i="3"/>
  <c r="H48" i="3"/>
  <c r="H49" i="3"/>
  <c r="H46" i="3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11" i="5" a="1"/>
  <c r="C11" i="5" s="1"/>
  <c r="C12" i="5" a="1"/>
  <c r="C12" i="5" s="1"/>
  <c r="C13" i="5" a="1"/>
  <c r="C13" i="5" s="1"/>
  <c r="C2" i="5" a="1"/>
  <c r="C2" i="5" s="1"/>
  <c r="B3" i="5"/>
  <c r="B4" i="5"/>
  <c r="B5" i="5"/>
  <c r="B6" i="5"/>
  <c r="B7" i="5"/>
  <c r="B8" i="5"/>
  <c r="B9" i="5"/>
  <c r="B10" i="5"/>
  <c r="B11" i="5"/>
  <c r="B12" i="5"/>
  <c r="B13" i="5"/>
  <c r="B2" i="5"/>
  <c r="B111" i="3"/>
  <c r="I25" i="3"/>
  <c r="K22" i="3"/>
  <c r="K23" i="3"/>
  <c r="K21" i="3"/>
  <c r="J22" i="3"/>
  <c r="J23" i="3"/>
  <c r="J21" i="3"/>
  <c r="I22" i="3"/>
  <c r="I23" i="3"/>
  <c r="I21" i="3"/>
  <c r="H22" i="3"/>
  <c r="H23" i="3"/>
  <c r="H21" i="3"/>
  <c r="I4" i="3"/>
  <c r="I5" i="3"/>
  <c r="I3" i="3"/>
  <c r="H7" i="3"/>
  <c r="H4" i="3"/>
  <c r="H5" i="3"/>
  <c r="H3" i="3"/>
  <c r="B100" i="3"/>
  <c r="E87" i="3"/>
  <c r="E89" i="3"/>
  <c r="E90" i="3"/>
  <c r="E91" i="3"/>
  <c r="E92" i="3"/>
  <c r="E93" i="3"/>
  <c r="E94" i="3"/>
  <c r="E95" i="3"/>
  <c r="E96" i="3"/>
  <c r="E97" i="3"/>
  <c r="E98" i="3"/>
  <c r="E88" i="3"/>
  <c r="C88" i="3"/>
  <c r="D88" i="3" s="1"/>
  <c r="C89" i="3"/>
  <c r="C90" i="3"/>
  <c r="D90" i="3" s="1"/>
  <c r="C91" i="3"/>
  <c r="D91" i="3" s="1"/>
  <c r="C92" i="3"/>
  <c r="C93" i="3"/>
  <c r="D93" i="3" s="1"/>
  <c r="C94" i="3"/>
  <c r="C95" i="3"/>
  <c r="C96" i="3"/>
  <c r="C97" i="3"/>
  <c r="D97" i="3" s="1"/>
  <c r="C98" i="3"/>
  <c r="C87" i="3"/>
  <c r="D87" i="3" s="1"/>
  <c r="D89" i="3"/>
  <c r="D92" i="3"/>
  <c r="D94" i="3"/>
  <c r="D95" i="3"/>
  <c r="D96" i="3"/>
  <c r="D98" i="3"/>
  <c r="B88" i="3"/>
  <c r="B89" i="3"/>
  <c r="B90" i="3"/>
  <c r="B91" i="3"/>
  <c r="B92" i="3"/>
  <c r="B93" i="3"/>
  <c r="B94" i="3"/>
  <c r="B95" i="3"/>
  <c r="B96" i="3"/>
  <c r="B97" i="3"/>
  <c r="B98" i="3"/>
  <c r="B87" i="3"/>
  <c r="A97" i="3"/>
  <c r="A98" i="3"/>
  <c r="A88" i="3"/>
  <c r="A89" i="3"/>
  <c r="A90" i="3"/>
  <c r="A91" i="3"/>
  <c r="A92" i="3"/>
  <c r="A93" i="3"/>
  <c r="A94" i="3"/>
  <c r="A95" i="3"/>
  <c r="A96" i="3"/>
  <c r="A87" i="3"/>
  <c r="C72" i="3"/>
  <c r="C73" i="3"/>
  <c r="C74" i="3"/>
  <c r="C75" i="3"/>
  <c r="C76" i="3"/>
  <c r="C77" i="3"/>
  <c r="C78" i="3"/>
  <c r="C79" i="3"/>
  <c r="C80" i="3"/>
  <c r="C81" i="3"/>
  <c r="C71" i="3"/>
  <c r="B71" i="3"/>
  <c r="B72" i="3"/>
  <c r="B73" i="3"/>
  <c r="B74" i="3"/>
  <c r="B75" i="3"/>
  <c r="B76" i="3"/>
  <c r="B77" i="3"/>
  <c r="B78" i="3"/>
  <c r="B79" i="3"/>
  <c r="B80" i="3"/>
  <c r="B81" i="3"/>
  <c r="B70" i="3"/>
  <c r="A80" i="3"/>
  <c r="A81" i="3"/>
  <c r="A72" i="3"/>
  <c r="A73" i="3"/>
  <c r="A74" i="3"/>
  <c r="A75" i="3"/>
  <c r="A76" i="3"/>
  <c r="A77" i="3"/>
  <c r="A78" i="3"/>
  <c r="A79" i="3"/>
  <c r="A71" i="3"/>
  <c r="A70" i="3"/>
  <c r="F4" i="3"/>
  <c r="F5" i="3"/>
  <c r="F6" i="3"/>
  <c r="F7" i="3"/>
  <c r="F3" i="3"/>
  <c r="E6" i="3"/>
  <c r="E7" i="3"/>
  <c r="E5" i="3"/>
  <c r="E4" i="3"/>
  <c r="E3" i="3"/>
  <c r="B65" i="3"/>
  <c r="B64" i="3"/>
  <c r="B63" i="3"/>
  <c r="B62" i="3"/>
  <c r="B61" i="3"/>
  <c r="B59" i="3"/>
  <c r="B58" i="3"/>
  <c r="B57" i="3"/>
  <c r="B56" i="3"/>
  <c r="B55" i="3"/>
  <c r="B54" i="3"/>
  <c r="B53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6" i="3"/>
  <c r="B35" i="3"/>
  <c r="B34" i="3"/>
  <c r="B33" i="3"/>
  <c r="B32" i="3"/>
  <c r="B31" i="3"/>
  <c r="B30" i="3"/>
  <c r="C17" i="3"/>
  <c r="C18" i="3"/>
  <c r="C19" i="3"/>
  <c r="C20" i="3"/>
  <c r="C21" i="3"/>
  <c r="C22" i="3"/>
  <c r="C23" i="3"/>
  <c r="C24" i="3"/>
  <c r="C25" i="3"/>
  <c r="C26" i="3"/>
  <c r="C16" i="3"/>
  <c r="B28" i="3"/>
  <c r="B16" i="3"/>
  <c r="B17" i="3"/>
  <c r="B18" i="3"/>
  <c r="B19" i="3"/>
  <c r="B20" i="3"/>
  <c r="B21" i="3"/>
  <c r="B22" i="3"/>
  <c r="B23" i="3"/>
  <c r="B24" i="3"/>
  <c r="B25" i="3"/>
  <c r="B26" i="3"/>
  <c r="B15" i="3"/>
  <c r="A17" i="3"/>
  <c r="A18" i="3" s="1"/>
  <c r="A16" i="3"/>
  <c r="A15" i="3"/>
  <c r="B9" i="3"/>
  <c r="B8" i="3"/>
  <c r="B6" i="3"/>
  <c r="B7" i="3" s="1"/>
  <c r="B4" i="3"/>
  <c r="B10" i="3" s="1"/>
  <c r="B3" i="3"/>
  <c r="B2" i="3"/>
  <c r="D9" i="2"/>
  <c r="D8" i="2"/>
  <c r="D6" i="2"/>
  <c r="D5" i="2"/>
  <c r="D4" i="2"/>
  <c r="D3" i="2"/>
  <c r="D2" i="2"/>
  <c r="D8" i="10" l="1"/>
  <c r="L13" i="6"/>
  <c r="L10" i="6"/>
  <c r="J9" i="5"/>
  <c r="K9" i="6"/>
  <c r="J8" i="5"/>
  <c r="K8" i="6"/>
  <c r="K5" i="6"/>
  <c r="J5" i="5"/>
  <c r="K4" i="6"/>
  <c r="J4" i="5"/>
  <c r="J12" i="5"/>
  <c r="K12" i="6"/>
  <c r="K11" i="6"/>
  <c r="J11" i="5"/>
  <c r="J10" i="5"/>
  <c r="K10" i="6"/>
  <c r="I6" i="5"/>
  <c r="G4" i="6"/>
  <c r="P3" i="6" s="1"/>
  <c r="G12" i="6"/>
  <c r="G11" i="6"/>
  <c r="G10" i="6"/>
  <c r="G9" i="6"/>
  <c r="K7" i="6"/>
  <c r="G8" i="6"/>
  <c r="U12" i="6"/>
  <c r="U13" i="6" s="1"/>
  <c r="C17" i="5"/>
  <c r="I2" i="5"/>
  <c r="I13" i="5"/>
  <c r="A19" i="3"/>
  <c r="B5" i="3"/>
  <c r="J6" i="5" l="1"/>
  <c r="K6" i="6"/>
  <c r="K2" i="6"/>
  <c r="L2" i="6" s="1"/>
  <c r="M2" i="6" s="1"/>
  <c r="J2" i="5"/>
  <c r="C18" i="5"/>
  <c r="C24" i="5"/>
  <c r="C23" i="5"/>
  <c r="K13" i="6"/>
  <c r="P4" i="6" s="1"/>
  <c r="P5" i="6" s="1"/>
  <c r="J13" i="5"/>
  <c r="A20" i="3"/>
  <c r="A21" i="3" l="1"/>
  <c r="A22" i="3" l="1"/>
  <c r="A23" i="3" s="1"/>
  <c r="A24" i="3" s="1"/>
  <c r="A25" i="3" s="1"/>
  <c r="A26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<sst xmlns="http://schemas.openxmlformats.org/spreadsheetml/2006/main" count="1434" uniqueCount="364">
  <si>
    <t>Month</t>
  </si>
  <si>
    <t>Business_Unit</t>
  </si>
  <si>
    <t>Department</t>
  </si>
  <si>
    <t>Account_Category</t>
  </si>
  <si>
    <t>Account_Name</t>
  </si>
  <si>
    <t>Amount_INR_Lakh</t>
  </si>
  <si>
    <t>Actual_Budget_Status</t>
  </si>
  <si>
    <t>Source_Owner</t>
  </si>
  <si>
    <t>Remarks</t>
  </si>
  <si>
    <t>Apr-2026</t>
  </si>
  <si>
    <t>Software Solutions</t>
  </si>
  <si>
    <t>Engineering</t>
  </si>
  <si>
    <t>Revenue</t>
  </si>
  <si>
    <t>Software Subscription Revenue</t>
  </si>
  <si>
    <t>Actual</t>
  </si>
  <si>
    <t>Finance</t>
  </si>
  <si>
    <t>Monthly close data</t>
  </si>
  <si>
    <t>Data Analytics</t>
  </si>
  <si>
    <t>Delivery</t>
  </si>
  <si>
    <t>Analytics Services Revenue</t>
  </si>
  <si>
    <t>Cloud Services</t>
  </si>
  <si>
    <t>Cloud Operations</t>
  </si>
  <si>
    <t>Cloud Services Revenue</t>
  </si>
  <si>
    <t>Corporate</t>
  </si>
  <si>
    <t>Human Resources</t>
  </si>
  <si>
    <t>Operating Expense</t>
  </si>
  <si>
    <t>Employee Cost</t>
  </si>
  <si>
    <t>Payroll and benefits</t>
  </si>
  <si>
    <t>Facilities</t>
  </si>
  <si>
    <t>Rent and Utilities</t>
  </si>
  <si>
    <t>Office-related expenses</t>
  </si>
  <si>
    <t>IT</t>
  </si>
  <si>
    <t>Software Licenses</t>
  </si>
  <si>
    <t>Annual and monthly licenses</t>
  </si>
  <si>
    <t>Sales</t>
  </si>
  <si>
    <t>Travel and Sales Expense</t>
  </si>
  <si>
    <t>Sales travel and events</t>
  </si>
  <si>
    <t>Other Administrative Expenses</t>
  </si>
  <si>
    <t>General administration</t>
  </si>
  <si>
    <t>Other</t>
  </si>
  <si>
    <t>Depreciation</t>
  </si>
  <si>
    <t>Fixed asset depreciation</t>
  </si>
  <si>
    <t>Treasury</t>
  </si>
  <si>
    <t>Interest Expense</t>
  </si>
  <si>
    <t>Borrowing cost</t>
  </si>
  <si>
    <t>May-2026</t>
  </si>
  <si>
    <t>Jun-2026</t>
  </si>
  <si>
    <t>Jul-2026</t>
  </si>
  <si>
    <t>Illustrative monthly actual</t>
  </si>
  <si>
    <t>Aug-2026</t>
  </si>
  <si>
    <t>Sep-2026</t>
  </si>
  <si>
    <t>Oct-2026</t>
  </si>
  <si>
    <t>Nov-2026</t>
  </si>
  <si>
    <t>Dec-2026</t>
  </si>
  <si>
    <t>Jan-2027</t>
  </si>
  <si>
    <t>Feb-2027</t>
  </si>
  <si>
    <t>Mar-2027</t>
  </si>
  <si>
    <t>Result</t>
  </si>
  <si>
    <t>Check ID</t>
  </si>
  <si>
    <r>
      <t xml:space="preserve">What we check in </t>
    </r>
    <r>
      <rPr>
        <b/>
        <sz val="10"/>
        <color theme="1"/>
        <rFont val="Arial Unicode MS"/>
      </rPr>
      <t>Raw_Actuals</t>
    </r>
  </si>
  <si>
    <t>Why?</t>
  </si>
  <si>
    <t>V001</t>
  </si>
  <si>
    <t>Total number of records</t>
  </si>
  <si>
    <t>To check whether data is complete</t>
  </si>
  <si>
    <t>V002</t>
  </si>
  <si>
    <t>Blank cells</t>
  </si>
  <si>
    <t>To find missing information</t>
  </si>
  <si>
    <t>V003</t>
  </si>
  <si>
    <t>Duplicate records</t>
  </si>
  <si>
    <t>To prevent double-counting</t>
  </si>
  <si>
    <t>V004</t>
  </si>
  <si>
    <t>Available months</t>
  </si>
  <si>
    <t>To check whether all 12 months exist</t>
  </si>
  <si>
    <t>V005</t>
  </si>
  <si>
    <t>Actual/Budget status</t>
  </si>
  <si>
    <t>To ensure we are using actual data</t>
  </si>
  <si>
    <t>V006</t>
  </si>
  <si>
    <t>Currency units</t>
  </si>
  <si>
    <t>To avoid mixing ₹ lakh and ₹ crore</t>
  </si>
  <si>
    <t>V007</t>
  </si>
  <si>
    <t>Negative amounts</t>
  </si>
  <si>
    <t>To identify refunds or errors</t>
  </si>
  <si>
    <t>V008</t>
  </si>
  <si>
    <t>Account categories</t>
  </si>
  <si>
    <t>To ensure correct classification</t>
  </si>
  <si>
    <t>INR Lakh</t>
  </si>
  <si>
    <t>Metric</t>
  </si>
  <si>
    <t>Values</t>
  </si>
  <si>
    <t>Total Revenue</t>
  </si>
  <si>
    <t>Total Operating Expenses</t>
  </si>
  <si>
    <t>Software Solutions Revenue</t>
  </si>
  <si>
    <t>Software Solutions Revenue %</t>
  </si>
  <si>
    <t>Data Analytics Revenue</t>
  </si>
  <si>
    <t>Data Analytics Revenue %</t>
  </si>
  <si>
    <t>Cloud Services Revenue %</t>
  </si>
  <si>
    <t>Revenue Reconciliation Check</t>
  </si>
  <si>
    <t>Monthly Revenue Trend</t>
  </si>
  <si>
    <t>Revenue (₹ lakh)</t>
  </si>
  <si>
    <t>Annual Revenue Reconciliation</t>
  </si>
  <si>
    <t>MoM Growth %</t>
  </si>
  <si>
    <t>Average Monthly Revenue</t>
  </si>
  <si>
    <t>Highest Monthly Revenue</t>
  </si>
  <si>
    <t>Lowest Monthly Revenue</t>
  </si>
  <si>
    <t>Revenue Range</t>
  </si>
  <si>
    <t>Revenue Standard Deviation</t>
  </si>
  <si>
    <t>Revenue Coefficient of Variation</t>
  </si>
  <si>
    <t>Total Revenue (₹ crore)</t>
  </si>
  <si>
    <t>Total Employee Cost</t>
  </si>
  <si>
    <t>Employee Cost % of Revenue</t>
  </si>
  <si>
    <t>Total Rent and Utilities</t>
  </si>
  <si>
    <t>Rent and Utilities % of Revenue</t>
  </si>
  <si>
    <t>Total Software Licenses</t>
  </si>
  <si>
    <t>Software Licenses % of Revenue</t>
  </si>
  <si>
    <t>Total Travel and Sales Expense</t>
  </si>
  <si>
    <t>Travel and Sales Expense % of Revenue</t>
  </si>
  <si>
    <t>Total Other Administrative Expenses</t>
  </si>
  <si>
    <t>Total Calculated Operating Expenses</t>
  </si>
  <si>
    <t>Operating Expenses % of Revenue</t>
  </si>
  <si>
    <t>Employee Cost % of Operating Expenses</t>
  </si>
  <si>
    <t>Non-Employee Operating Expenses</t>
  </si>
  <si>
    <t>Cost Structure Reconciliation</t>
  </si>
  <si>
    <t>EBITDA</t>
  </si>
  <si>
    <t>EBITDA Margin</t>
  </si>
  <si>
    <t>Depreciation Expense</t>
  </si>
  <si>
    <t>Operating Profit (EBIT)</t>
  </si>
  <si>
    <t>Profit Before Tax (PBT)</t>
  </si>
  <si>
    <t>Tax Expense</t>
  </si>
  <si>
    <t>Assumed Tax Rate</t>
  </si>
  <si>
    <t>Calculated Tax Expense</t>
  </si>
  <si>
    <t>Net Profit After Tax</t>
  </si>
  <si>
    <t>Net Profit Margin</t>
  </si>
  <si>
    <t>Total Other Expenses</t>
  </si>
  <si>
    <t>Profit Reconciliation Check</t>
  </si>
  <si>
    <t>Profitability Metric</t>
  </si>
  <si>
    <t>Amount (₹ lakh)</t>
  </si>
  <si>
    <t xml:space="preserve">EBIT </t>
  </si>
  <si>
    <t>PBT</t>
  </si>
  <si>
    <t>Net Profit</t>
  </si>
  <si>
    <t>Margin %</t>
  </si>
  <si>
    <t>Value</t>
  </si>
  <si>
    <t>Monthly Operating Expense Analysis</t>
  </si>
  <si>
    <t>Operating Expenses (₹ lakh)</t>
  </si>
  <si>
    <t>Annual OpEx Reconciliation</t>
  </si>
  <si>
    <t>Monthly EBITDA Analysis</t>
  </si>
  <si>
    <t>EBITDA (₹ lakh)</t>
  </si>
  <si>
    <t>EBITDA Margin %</t>
  </si>
  <si>
    <t>Annual EBITDA Reconciliation</t>
  </si>
  <si>
    <t>Business Unit</t>
  </si>
  <si>
    <t>Revenue Contribution %</t>
  </si>
  <si>
    <t>Business Unit Revenue Reconciliation</t>
  </si>
  <si>
    <t>Allocated OpEx (₹ lakh)</t>
  </si>
  <si>
    <t>Business-Unit EBITDA Reconciliation</t>
  </si>
  <si>
    <t>Management Insights</t>
  </si>
  <si>
    <t xml:space="preserve"> Revenue increased from ₹650 lakh in April to ₹890 lakh in March</t>
  </si>
  <si>
    <t xml:space="preserve"> Operating expenses increased gradually during the year</t>
  </si>
  <si>
    <t xml:space="preserve"> EBITDA margin improved as revenue grew faster than operating expenses</t>
  </si>
  <si>
    <t xml:space="preserve"> Software Solutions contributed the largest share of total revenue</t>
  </si>
  <si>
    <t xml:space="preserve"> Business-unit EBITDA is based on revenue-based OpEx allocation and is illustrative</t>
  </si>
  <si>
    <t xml:space="preserve"> Actual business-unit costs are required for reliable profitability comparisons</t>
  </si>
  <si>
    <t>Budget Assumption</t>
  </si>
  <si>
    <t>Unit</t>
  </si>
  <si>
    <t>Explanation</t>
  </si>
  <si>
    <t>Revenue Growth</t>
  </si>
  <si>
    <t>%</t>
  </si>
  <si>
    <t>Expected annual revenue growth</t>
  </si>
  <si>
    <t>Employee Cost Growth</t>
  </si>
  <si>
    <t>Expected increase in employee costs</t>
  </si>
  <si>
    <t>Rent and Utilities Growth</t>
  </si>
  <si>
    <t>Expected increase in rent and utilities</t>
  </si>
  <si>
    <t>Software Licenses Growth</t>
  </si>
  <si>
    <t>Travel and Sales Expense Growth</t>
  </si>
  <si>
    <t>Expected increase in travel and sales expenses</t>
  </si>
  <si>
    <t>Other Administrative Expense Growth</t>
  </si>
  <si>
    <t>Expected increase in administrative expenses</t>
  </si>
  <si>
    <t>Tax Rate</t>
  </si>
  <si>
    <t>Assumed tax rate for budgeting</t>
  </si>
  <si>
    <t>Budget</t>
  </si>
  <si>
    <t>Expected increase in software license costs</t>
  </si>
  <si>
    <t>Historical Revenue Growth</t>
  </si>
  <si>
    <t>Revenue Budget (₹ lakh)</t>
  </si>
  <si>
    <t>Employee Cost Budget (₹ lakh)</t>
  </si>
  <si>
    <t>Rent &amp; Utilities Budget (₹ lakh)</t>
  </si>
  <si>
    <t>Software Licenses Budget (₹ lakh)</t>
  </si>
  <si>
    <t>Travel &amp; Sales Budget (₹ lakh)</t>
  </si>
  <si>
    <t>Other Admin Budget (₹ lakh)</t>
  </si>
  <si>
    <t>Total OpEx Budget (₹ lakh)</t>
  </si>
  <si>
    <t>EBITDA Budget (₹ lakh)</t>
  </si>
  <si>
    <t>Account Name</t>
  </si>
  <si>
    <t>Annual Actual (₹ lakh)</t>
  </si>
  <si>
    <t>Rent and Utilities Actual (₹ lakh)</t>
  </si>
  <si>
    <t>Software Licenses Actual (₹ lakh)</t>
  </si>
  <si>
    <t>Travel and Sales Expense Actual (₹ lakh)</t>
  </si>
  <si>
    <t>Other Administrative Expense Actual (₹ lakh)</t>
  </si>
  <si>
    <t>FY2027 Budget Summary</t>
  </si>
  <si>
    <t>Total Revenue Budget</t>
  </si>
  <si>
    <t>Total OpEx Budget</t>
  </si>
  <si>
    <t>Total EBITDA Budget</t>
  </si>
  <si>
    <t>Revenue Actual (₹ lakh)</t>
  </si>
  <si>
    <t>Revenue Variance (₹ lakh)</t>
  </si>
  <si>
    <t>Revenue Variance %</t>
  </si>
  <si>
    <t>OpEx Actual (₹ lakh)</t>
  </si>
  <si>
    <t>OpEx Budget (₹ lakh)</t>
  </si>
  <si>
    <t>OpEx Variance (₹ lakh)</t>
  </si>
  <si>
    <t>OpEx Variance %</t>
  </si>
  <si>
    <t>EBITDA Actual (₹ lakh)</t>
  </si>
  <si>
    <t>EBITDA Variance (₹ lakh)</t>
  </si>
  <si>
    <t>EBITDA Variance %</t>
  </si>
  <si>
    <t>Management Summary</t>
  </si>
  <si>
    <t>Revenue Budget</t>
  </si>
  <si>
    <t>OpEx Budget</t>
  </si>
  <si>
    <t>EBITDA Budget</t>
  </si>
  <si>
    <t>Revenue Variance</t>
  </si>
  <si>
    <t>EBITDA Variance</t>
  </si>
  <si>
    <t>Budget Reconciliation Check</t>
  </si>
  <si>
    <t>OpEx Budget Reconciliation Check</t>
  </si>
  <si>
    <t>EBITDA Budget Reconciliation Check</t>
  </si>
  <si>
    <t>EBITDA Margin Reconciliation Check</t>
  </si>
  <si>
    <t>Employee Cost Actual (₹ lakh)</t>
  </si>
  <si>
    <t>Other OpEx Actual (₹ lakh)</t>
  </si>
  <si>
    <t>Total OpEx Actual (₹ lakh)</t>
  </si>
  <si>
    <t>Expense Category</t>
  </si>
  <si>
    <t>Variance</t>
  </si>
  <si>
    <t>Other OpEx</t>
  </si>
  <si>
    <t>Total</t>
  </si>
  <si>
    <t>Rent &amp; Utilities</t>
  </si>
  <si>
    <t>OpEx Reconciliation Check</t>
  </si>
  <si>
    <t>EBITDA Reconciliation Check</t>
  </si>
  <si>
    <t>FY2027 Management Analysis</t>
  </si>
  <si>
    <t>Total Revenue Actual</t>
  </si>
  <si>
    <t>Total OpEx Actual</t>
  </si>
  <si>
    <t>OpEx Variance</t>
  </si>
  <si>
    <t>Total EBITDA Actual</t>
  </si>
  <si>
    <t>Management Commentary</t>
  </si>
  <si>
    <t>Revenue was ₹69.84 lakh above budget, representing approximately 0.7% favorable variance.</t>
  </si>
  <si>
    <t>Operating expenses were ₹330.62 lakh above budget, representing approximately 6.4% unfavorable variance.</t>
  </si>
  <si>
    <t>Higher operating expenses more than offset the favorable revenue variance, resulting in EBITDA being ₹260.78 lakh below budget.</t>
  </si>
  <si>
    <t>Management should investigate the key operating expense drivers and determine whether the unfavorable variance is temporary or structural.</t>
  </si>
  <si>
    <t>EBITDA Actual</t>
  </si>
  <si>
    <t>Largest Unfavorable EBITDA Variance</t>
  </si>
  <si>
    <t>Month of Largest Unfavorable Variance</t>
  </si>
  <si>
    <t>April OpEx Driver Analysis</t>
  </si>
  <si>
    <t>Driver</t>
  </si>
  <si>
    <t>Actual (₹ lakh)</t>
  </si>
  <si>
    <t>Budget (₹ lakh)</t>
  </si>
  <si>
    <t>Variance (₹ lakh)</t>
  </si>
  <si>
    <t>Other Operating Expenses</t>
  </si>
  <si>
    <t>Total OpEx</t>
  </si>
  <si>
    <t>April OpEx was ₹122.64L above budget, primarily driven by Other Operating Expenses, which were ₹119.64L above budget. Employee Cost was ₹3L above budget.</t>
  </si>
  <si>
    <t>XYZCompany – FY2027 FP&amp;A Executive Dashboard</t>
  </si>
  <si>
    <t>Actual vs Budget Performance | Apr-2027 to Mar-2028</t>
  </si>
  <si>
    <t>Operating Expenses Actual (₹ lakh)</t>
  </si>
  <si>
    <t>EBITDA Margin Actual</t>
  </si>
  <si>
    <t>Revenue: Actual revenue was ₹10,310L, ₹69.84L above budget.</t>
  </si>
  <si>
    <t>Operating Expenses: Actual OpEx was ₹5,470L, ₹330.62L above budget.</t>
  </si>
  <si>
    <t>EBITDA: Actual EBITDA was ₹4,840L, ₹260.78L below budget.</t>
  </si>
  <si>
    <t>Key Driver: April OpEx was ₹122.64L above budget, primarily driven by Other Operating Expenses.</t>
  </si>
  <si>
    <t>XYZCompany – Financial Model Assumptions</t>
  </si>
  <si>
    <t>FY2028 Forecast &amp; Scenario Planning</t>
  </si>
  <si>
    <t>Assumption</t>
  </si>
  <si>
    <t>Rent &amp; Utilities Growth</t>
  </si>
  <si>
    <t>Travel &amp; Sales Expense Growth</t>
  </si>
  <si>
    <t>Capex Growth</t>
  </si>
  <si>
    <t>Working Capital % of Revenue</t>
  </si>
  <si>
    <t>XYZCompany – Revenue Model</t>
  </si>
  <si>
    <t>FY2028 Revenue Forecast</t>
  </si>
  <si>
    <t>FY2027 Actual Revenue (₹ lakh)</t>
  </si>
  <si>
    <t>Growth Assumption</t>
  </si>
  <si>
    <t>FY2028 Forecast Revenue (₹ lakh)</t>
  </si>
  <si>
    <t>FY2028 Revenue Growth</t>
  </si>
  <si>
    <t>XYZCompany – Cost Model</t>
  </si>
  <si>
    <t>FY2028 Operating Expense Forecast</t>
  </si>
  <si>
    <t>FY2027 Actual (₹ lakh)</t>
  </si>
  <si>
    <t>FY2028 Forecast (₹ lakh)</t>
  </si>
  <si>
    <t>% of Revenue</t>
  </si>
  <si>
    <t>Travel &amp; Sales Expense</t>
  </si>
  <si>
    <t>Other Administrative Expense</t>
  </si>
  <si>
    <t>Operating Cost Analysis</t>
  </si>
  <si>
    <t>Employee Cost as % of OpEx</t>
  </si>
  <si>
    <t>Non-Employee OpEx</t>
  </si>
  <si>
    <t>Total OpEx as % of Revenue</t>
  </si>
  <si>
    <t>FY2028 EBITDA Forecast</t>
  </si>
  <si>
    <t>Total OpEx %</t>
  </si>
  <si>
    <t>XYZCompany – P&amp;L Forecast</t>
  </si>
  <si>
    <t>FY2028 Income Statement</t>
  </si>
  <si>
    <t>Line Item</t>
  </si>
  <si>
    <t>Operating Expenses</t>
  </si>
  <si>
    <t>Depreciation &amp; Amortization</t>
  </si>
  <si>
    <t>EBIT</t>
  </si>
  <si>
    <t>EBIT Margin</t>
  </si>
  <si>
    <t>XYZCompany – Cash Flow Forecast</t>
  </si>
  <si>
    <t>FY2028 Cash Flow Statement</t>
  </si>
  <si>
    <t>Change in Working Capital</t>
  </si>
  <si>
    <t>Cash Flow from Operating Activities</t>
  </si>
  <si>
    <t>Capital Expenditure</t>
  </si>
  <si>
    <t>Cash Flow from Investing Activities</t>
  </si>
  <si>
    <t>Debt / Borrowings</t>
  </si>
  <si>
    <t>Equity / Financing</t>
  </si>
  <si>
    <t>Cash Flow from Financing Activities</t>
  </si>
  <si>
    <t>Net Change in Cash</t>
  </si>
  <si>
    <t>Opening Cash Balance</t>
  </si>
  <si>
    <t>Closing Cash Balance</t>
  </si>
  <si>
    <t>XYZCompany – Balance Sheet</t>
  </si>
  <si>
    <t>FY2028 Balance Sheet</t>
  </si>
  <si>
    <t>ASSETS</t>
  </si>
  <si>
    <t>Cash &amp; Cash Equivalents</t>
  </si>
  <si>
    <t>Accounts Receivable</t>
  </si>
  <si>
    <t>Other Current Assets</t>
  </si>
  <si>
    <t>Total Current Assets</t>
  </si>
  <si>
    <t>Property</t>
  </si>
  <si>
    <t>Other Non-Current Assets</t>
  </si>
  <si>
    <t>Total Non-Current Assets</t>
  </si>
  <si>
    <t>Total Assets</t>
  </si>
  <si>
    <t>LIABILITIES &amp; EQUITY</t>
  </si>
  <si>
    <t>Accounts Payable</t>
  </si>
  <si>
    <t>Other Current Liabilities</t>
  </si>
  <si>
    <t>Total Current Liabilities</t>
  </si>
  <si>
    <t>Other Non-Current Liabilities</t>
  </si>
  <si>
    <t>Total Non-Current Liabilities</t>
  </si>
  <si>
    <t>Total Liabilities</t>
  </si>
  <si>
    <t>Shareholders' Equity</t>
  </si>
  <si>
    <t>Retained Earnings</t>
  </si>
  <si>
    <t>Total Equity</t>
  </si>
  <si>
    <t>Total Liabilities &amp; Equity</t>
  </si>
  <si>
    <t>Balance Check</t>
  </si>
  <si>
    <t>XYZCompany – 3-Statement Model</t>
  </si>
  <si>
    <t>FY2028 Integrated Financial Model</t>
  </si>
  <si>
    <t>INCOME STATEMENT</t>
  </si>
  <si>
    <t>CASH FLOW STATEMENT</t>
  </si>
  <si>
    <t>BALANCE SHEET</t>
  </si>
  <si>
    <t>KEY FINANCIAL METRICS</t>
  </si>
  <si>
    <t>XYZCompany – Scenario Analysis</t>
  </si>
  <si>
    <t>FY2028 Scenario Planning</t>
  </si>
  <si>
    <t>Base Case</t>
  </si>
  <si>
    <t>Upside Case</t>
  </si>
  <si>
    <t>Downside Case</t>
  </si>
  <si>
    <t>Other OpEx Growth</t>
  </si>
  <si>
    <t>Net Profit (₹ lakh)</t>
  </si>
  <si>
    <t>Scenario Impact</t>
  </si>
  <si>
    <t>Revenue vs Base (₹ lakh)</t>
  </si>
  <si>
    <t>EBITDA vs Base (₹ lakh)</t>
  </si>
  <si>
    <t>Net Profit vs Base (₹ lakh)</t>
  </si>
  <si>
    <t>XYZCompany – DCF Valuation</t>
  </si>
  <si>
    <t>FY2028 DCF Valuation</t>
  </si>
  <si>
    <t>DCF Assumptions</t>
  </si>
  <si>
    <t>WACC</t>
  </si>
  <si>
    <t>Terminal Growth Rate</t>
  </si>
  <si>
    <t>FCFF Forecast</t>
  </si>
  <si>
    <t>Tax on EBIT</t>
  </si>
  <si>
    <t>NOPAT</t>
  </si>
  <si>
    <t>Free Cash Flow to Firm (FCFF)</t>
  </si>
  <si>
    <t>Valuation</t>
  </si>
  <si>
    <t>Present Value of FCFF</t>
  </si>
  <si>
    <t>Terminal Value</t>
  </si>
  <si>
    <t>Present Value of Terminal Value</t>
  </si>
  <si>
    <t>Enterprise Value</t>
  </si>
  <si>
    <t>Less: Debt</t>
  </si>
  <si>
    <t>Add: Cash</t>
  </si>
  <si>
    <t>Equity Value</t>
  </si>
  <si>
    <t>XYZCompany – DCF Sensitivity Analysis</t>
  </si>
  <si>
    <t>FY2028 DCF Valuation Sensitivity</t>
  </si>
  <si>
    <t>Equity Value Sensitivity (₹ lakh)</t>
  </si>
  <si>
    <t>Base Case Assumptions</t>
  </si>
  <si>
    <t>Base Equity Value</t>
  </si>
  <si>
    <t>Terminal Growth Rate →/WACC 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</si>
</sst>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[$-409]mmm\-yy;@"/>
    <numFmt numFmtId="167" formatCode="0.0%"/>
  </numFmts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b/>
      <sz val="10"/>
      <color theme="1"/>
      <name val="Arial Unicode MS"/>
    </font>
    <font>
      <sz val="11"/>
      <color theme="1"/>
      <name val="Aptos Narrow"/>
      <family val="2"/>
      <scheme val="minor"/>
    </font>
    <font>
      <sz val="11"/>
      <color rgb="FF000000"/>
      <name val="Carlito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0" xfId="1" applyFont="1"/>
    <xf numFmtId="17" fontId="0" fillId="0" borderId="0" xfId="0" applyNumberFormat="1"/>
    <xf numFmtId="17" fontId="0" fillId="0" borderId="0" xfId="0" applyNumberFormat="1" applyAlignment="1">
      <alignment horizontal="left"/>
    </xf>
    <xf numFmtId="164" fontId="0" fillId="0" borderId="0" xfId="0" applyNumberFormat="1"/>
    <xf numFmtId="2" fontId="0" fillId="0" borderId="0" xfId="0" applyNumberFormat="1"/>
    <xf numFmtId="1" fontId="0" fillId="0" borderId="0" xfId="1" applyNumberFormat="1" applyFont="1"/>
    <xf numFmtId="1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17" fontId="0" fillId="0" borderId="0" xfId="0" applyNumberFormat="1" applyAlignment="1">
      <alignment horizontal="left" vertical="center" wrapText="1"/>
    </xf>
    <xf numFmtId="166" fontId="0" fillId="0" borderId="0" xfId="0" applyNumberFormat="1" applyAlignment="1">
      <alignment horizontal="left" vertical="center" wrapText="1"/>
    </xf>
    <xf numFmtId="167" fontId="0" fillId="0" borderId="0" xfId="1" applyNumberFormat="1" applyFont="1"/>
    <xf numFmtId="165" fontId="0" fillId="0" borderId="0" xfId="0" applyNumberFormat="1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/>
    <xf numFmtId="16" fontId="0" fillId="0" borderId="0" xfId="0" applyNumberFormat="1"/>
    <xf numFmtId="17" fontId="0" fillId="0" borderId="0" xfId="0" applyNumberFormat="1" applyAlignment="1">
      <alignment wrapText="1"/>
    </xf>
    <xf numFmtId="166" fontId="0" fillId="0" borderId="0" xfId="0" applyNumberFormat="1"/>
    <xf numFmtId="17" fontId="1" fillId="3" borderId="0" xfId="0" applyNumberFormat="1" applyFont="1" applyFill="1"/>
    <xf numFmtId="2" fontId="0" fillId="0" borderId="0" xfId="0" applyNumberFormat="1" applyAlignment="1">
      <alignment vertical="center" wrapText="1"/>
    </xf>
    <xf numFmtId="9" fontId="0" fillId="0" borderId="0" xfId="1" applyFont="1" applyAlignment="1">
      <alignment vertical="center" wrapText="1"/>
    </xf>
    <xf numFmtId="9" fontId="0" fillId="0" borderId="0" xfId="0" applyNumberFormat="1"/>
    <xf numFmtId="16" fontId="0" fillId="0" borderId="0" xfId="0" applyNumberFormat="1" applyAlignment="1">
      <alignment vertical="center" wrapText="1"/>
    </xf>
    <xf numFmtId="17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/>
    <xf numFmtId="0" fontId="10" fillId="0" borderId="0" xfId="0" applyFont="1"/>
    <xf numFmtId="167" fontId="0" fillId="0" borderId="0" xfId="0" applyNumberFormat="1" applyAlignment="1">
      <alignment vertical="center" wrapText="1"/>
    </xf>
    <xf numFmtId="167" fontId="0" fillId="0" borderId="0" xfId="1" applyNumberFormat="1" applyFont="1" applyAlignment="1">
      <alignment vertical="center" wrapText="1"/>
    </xf>
    <xf numFmtId="167" fontId="0" fillId="0" borderId="0" xfId="0" applyNumberFormat="1"/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top"/>
    </xf>
    <xf numFmtId="0" fontId="11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167" fontId="11" fillId="0" borderId="0" xfId="0" applyNumberFormat="1" applyFont="1" applyAlignment="1">
      <alignment vertical="center" wrapText="1"/>
    </xf>
    <xf numFmtId="0" fontId="0" fillId="0" borderId="0" xfId="1" applyNumberFormat="1" applyFont="1"/>
    <xf numFmtId="4" fontId="0" fillId="0" borderId="0" xfId="0" applyNumberFormat="1"/>
    <xf numFmtId="4" fontId="1" fillId="0" borderId="0" xfId="0" applyNumberFormat="1" applyFon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10" fontId="1" fillId="0" borderId="0" xfId="0" applyNumberFormat="1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5" fontId="7" fillId="0" borderId="5" xfId="0" applyNumberFormat="1" applyFont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 vertical="center"/>
    </xf>
    <xf numFmtId="165" fontId="7" fillId="0" borderId="7" xfId="0" applyNumberFormat="1" applyFont="1" applyBorder="1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165" fontId="7" fillId="0" borderId="11" xfId="0" applyNumberFormat="1" applyFont="1" applyBorder="1" applyAlignment="1">
      <alignment horizontal="center" vertical="center"/>
    </xf>
    <xf numFmtId="165" fontId="7" fillId="0" borderId="1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7" fontId="7" fillId="0" borderId="5" xfId="1" applyNumberFormat="1" applyFont="1" applyBorder="1" applyAlignment="1">
      <alignment horizontal="center" vertical="center"/>
    </xf>
    <xf numFmtId="167" fontId="7" fillId="0" borderId="6" xfId="1" applyNumberFormat="1" applyFont="1" applyBorder="1" applyAlignment="1">
      <alignment horizontal="center" vertical="center"/>
    </xf>
    <xf numFmtId="167" fontId="7" fillId="0" borderId="7" xfId="1" applyNumberFormat="1" applyFont="1" applyBorder="1" applyAlignment="1">
      <alignment horizontal="center" vertical="center"/>
    </xf>
    <xf numFmtId="167" fontId="7" fillId="0" borderId="8" xfId="1" applyNumberFormat="1" applyFont="1" applyBorder="1" applyAlignment="1">
      <alignment horizontal="center" vertical="center"/>
    </xf>
    <xf numFmtId="167" fontId="7" fillId="0" borderId="0" xfId="1" applyNumberFormat="1" applyFont="1" applyBorder="1" applyAlignment="1">
      <alignment horizontal="center" vertical="center"/>
    </xf>
    <xf numFmtId="167" fontId="7" fillId="0" borderId="9" xfId="1" applyNumberFormat="1" applyFont="1" applyBorder="1" applyAlignment="1">
      <alignment horizontal="center" vertical="center"/>
    </xf>
    <xf numFmtId="167" fontId="7" fillId="0" borderId="10" xfId="1" applyNumberFormat="1" applyFont="1" applyBorder="1" applyAlignment="1">
      <alignment horizontal="center" vertical="center"/>
    </xf>
    <xf numFmtId="167" fontId="7" fillId="0" borderId="11" xfId="1" applyNumberFormat="1" applyFont="1" applyBorder="1" applyAlignment="1">
      <alignment horizontal="center" vertical="center"/>
    </xf>
    <xf numFmtId="167" fontId="7" fillId="0" borderId="12" xfId="1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0" fontId="0" fillId="0" borderId="0" xfId="0" applyNumberForma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accent1"/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XYZCompany Profitability Summary – FY2026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accent1"/>
                </a:soli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2660274402116"/>
          <c:y val="0.19090253345991326"/>
          <c:w val="0.806071741032371"/>
          <c:h val="0.6230865412656750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accent1"/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Data_Profiling!$D$3:$D$7</c:f>
              <c:strCache>
                <c:ptCount val="5"/>
                <c:pt idx="0">
                  <c:v>Revenue</c:v>
                </c:pt>
                <c:pt idx="1">
                  <c:v>EBITDA</c:v>
                </c:pt>
                <c:pt idx="2">
                  <c:v>EBIT </c:v>
                </c:pt>
                <c:pt idx="3">
                  <c:v>PBT</c:v>
                </c:pt>
                <c:pt idx="4">
                  <c:v>Net Profit</c:v>
                </c:pt>
              </c:strCache>
            </c:strRef>
          </c:cat>
          <c:val>
            <c:numRef>
              <c:f>Data_Profiling!$E$3:$E$7</c:f>
              <c:numCache>
                <c:formatCode>0</c:formatCode>
                <c:ptCount val="5"/>
                <c:pt idx="0" formatCode="General">
                  <c:v>9143</c:v>
                </c:pt>
                <c:pt idx="1">
                  <c:v>4448</c:v>
                </c:pt>
                <c:pt idx="2">
                  <c:v>4244</c:v>
                </c:pt>
                <c:pt idx="3">
                  <c:v>4136</c:v>
                </c:pt>
                <c:pt idx="4">
                  <c:v>3102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E-44CC-8D86-87FA67962A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5186799"/>
        <c:axId val="2020644239"/>
      </c:barChart>
      <c:catAx>
        <c:axId val="2055186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solidFill>
                        <a:schemeClr val="accent1"/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Profitability Metric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solidFill>
                      <a:schemeClr val="accent1"/>
                    </a:solidFill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1"/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644239"/>
        <c:crosses val="autoZero"/>
        <c:auto val="1"/>
        <c:lblAlgn val="ctr"/>
        <c:lblOffset val="100"/>
        <c:noMultiLvlLbl val="0"/>
      </c:catAx>
      <c:valAx>
        <c:axId val="20206442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solidFill>
                        <a:schemeClr val="accent1"/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(₹ lakh)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solidFill>
                      <a:schemeClr val="accent1"/>
                    </a:solidFill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1"/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186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solidFill>
              <a:schemeClr val="accent1"/>
            </a:solidFill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Business Unit – FY2026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35859758036573"/>
          <c:y val="0.13577406597760183"/>
          <c:w val="0.84708573928258968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Data_Profiling!$G$3:$G$5</c:f>
              <c:strCache>
                <c:ptCount val="3"/>
                <c:pt idx="0">
                  <c:v>Software Solutions</c:v>
                </c:pt>
                <c:pt idx="1">
                  <c:v>Data Analytics</c:v>
                </c:pt>
                <c:pt idx="2">
                  <c:v>Cloud Services</c:v>
                </c:pt>
              </c:strCache>
            </c:strRef>
          </c:cat>
          <c:val>
            <c:numRef>
              <c:f>Data_Profiling!$H$3:$H$5</c:f>
              <c:numCache>
                <c:formatCode>General</c:formatCode>
                <c:ptCount val="3"/>
                <c:pt idx="0">
                  <c:v>4520</c:v>
                </c:pt>
                <c:pt idx="1">
                  <c:v>2783</c:v>
                </c:pt>
                <c:pt idx="2">
                  <c:v>1840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2-4E2D-A5BC-C91A685DF1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9121231"/>
        <c:axId val="2020633679"/>
      </c:barChart>
      <c:catAx>
        <c:axId val="2019121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</a:t>
                </a:r>
              </a:p>
            </c:rich>
          </c:tx>
          <c:layout>
            <c:manualLayout>
              <c:xMode val="edge"/>
              <c:yMode val="edge"/>
              <c:x val="0.52610029758938359"/>
              <c:y val="0.931693443979879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633679"/>
        <c:crosses val="autoZero"/>
        <c:auto val="1"/>
        <c:lblAlgn val="ctr"/>
        <c:lblOffset val="100"/>
        <c:noMultiLvlLbl val="0"/>
      </c:catAx>
      <c:valAx>
        <c:axId val="20206336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(₹ lakh)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12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Business-Unit Revenue vs Allocated EBITDA – FY2026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 (₹ lakh).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Data_Profiling!$G$21:$G$23</c:f>
              <c:strCache>
                <c:ptCount val="3"/>
                <c:pt idx="0">
                  <c:v>Software Solutions</c:v>
                </c:pt>
                <c:pt idx="1">
                  <c:v>Data Analytics</c:v>
                </c:pt>
                <c:pt idx="2">
                  <c:v>Cloud Services</c:v>
                </c:pt>
              </c:strCache>
            </c:strRef>
          </c:cat>
          <c:val>
            <c:numRef>
              <c:f>Data_Profiling!$H$21:$H$23</c:f>
              <c:numCache>
                <c:formatCode>General</c:formatCode>
                <c:ptCount val="3"/>
                <c:pt idx="0">
                  <c:v>4520</c:v>
                </c:pt>
                <c:pt idx="1">
                  <c:v>2783</c:v>
                </c:pt>
                <c:pt idx="2">
                  <c:v>1840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D-4C93-9ECB-7FF436E3AB98}"/>
            </c:ext>
          </c:extLst>
        </c:ser>
        <c:ser>
          <c:idx val="1"/>
          <c:order val="1"/>
          <c:tx>
            <c:v>EBITDA (₹ lakh)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Data_Profiling!$G$21:$G$23</c:f>
              <c:strCache>
                <c:ptCount val="3"/>
                <c:pt idx="0">
                  <c:v>Software Solutions</c:v>
                </c:pt>
                <c:pt idx="1">
                  <c:v>Data Analytics</c:v>
                </c:pt>
                <c:pt idx="2">
                  <c:v>Cloud Services</c:v>
                </c:pt>
              </c:strCache>
            </c:strRef>
          </c:cat>
          <c:val>
            <c:numRef>
              <c:f>Data_Profiling!$J$21:$J$23</c:f>
              <c:numCache>
                <c:formatCode>0.0</c:formatCode>
                <c:ptCount val="3"/>
                <c:pt idx="0">
                  <c:v>2198.9456414743518</c:v>
                </c:pt>
                <c:pt idx="1">
                  <c:v>1353.9083451821066</c:v>
                </c:pt>
                <c:pt idx="2">
                  <c:v>895.14601334354143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9D-4C93-9ECB-7FF436E3AB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9124943"/>
        <c:axId val="2020748879"/>
      </c:barChart>
      <c:catAx>
        <c:axId val="2019124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748879"/>
        <c:crosses val="autoZero"/>
        <c:auto val="1"/>
        <c:lblAlgn val="ctr"/>
        <c:lblOffset val="100"/>
        <c:noMultiLvlLbl val="0"/>
      </c:catAx>
      <c:valAx>
        <c:axId val="202074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Amount (₹ lakh)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12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998970342026705"/>
          <c:y val="0.88533775383340241"/>
          <c:w val="0.24267754772068686"/>
          <c:h val="8.4587058196672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65000"/>
          <a:lumOff val="3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FY2027 Monthly EBITDA – Actual vs Budget</a:t>
            </a:r>
            <a:endParaRPr lang="en-US"/>
          </a:p>
        </c:rich>
      </c:tx>
      <c:layout>
        <c:manualLayout>
          <c:xMode val="edge"/>
          <c:yMode val="edge"/>
          <c:x val="0.27847222222222223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900481189851263E-2"/>
          <c:y val="0.16708333333333336"/>
          <c:w val="0.88265507436570434"/>
          <c:h val="0.6714577865266842"/>
        </c:manualLayout>
      </c:layout>
      <c:lineChart>
        <c:grouping val="standard"/>
        <c:varyColors val="0"/>
        <c:ser>
          <c:idx val="0"/>
          <c:order val="0"/>
          <c:tx>
            <c:strRef>
              <c:f>Actual_vs_Budget!$P$34</c:f>
              <c:strCache>
                <c:ptCount val="1"/>
                <c:pt idx="0">
                  <c:v>EBITDA 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Actual_vs_Budget!$O$35:$O$46</c:f>
              <c:numCache>
                <c:formatCode>mmm\-yy</c:formatCode>
                <c:ptCount val="12"/>
                <c:pt idx="0">
                  <c:v>46504</c:v>
                </c:pt>
                <c:pt idx="1">
                  <c:v>46534</c:v>
                </c:pt>
                <c:pt idx="2">
                  <c:v>46565</c:v>
                </c:pt>
                <c:pt idx="3">
                  <c:v>46595</c:v>
                </c:pt>
                <c:pt idx="4">
                  <c:v>46626</c:v>
                </c:pt>
                <c:pt idx="5">
                  <c:v>46657</c:v>
                </c:pt>
                <c:pt idx="6">
                  <c:v>46687</c:v>
                </c:pt>
                <c:pt idx="7">
                  <c:v>46718</c:v>
                </c:pt>
                <c:pt idx="8">
                  <c:v>46748</c:v>
                </c:pt>
                <c:pt idx="9">
                  <c:v>46779</c:v>
                </c:pt>
                <c:pt idx="10">
                  <c:v>46810</c:v>
                </c:pt>
                <c:pt idx="11">
                  <c:v>46839</c:v>
                </c:pt>
              </c:numCache>
            </c:numRef>
          </c:cat>
          <c:val>
            <c:numRef>
              <c:f>Actual_vs_Budget!$P$35:$P$46</c:f>
              <c:numCache>
                <c:formatCode>General</c:formatCode>
                <c:ptCount val="12"/>
                <c:pt idx="0">
                  <c:v>212</c:v>
                </c:pt>
                <c:pt idx="1">
                  <c:v>348</c:v>
                </c:pt>
                <c:pt idx="2">
                  <c:v>350</c:v>
                </c:pt>
                <c:pt idx="3">
                  <c:v>385</c:v>
                </c:pt>
                <c:pt idx="4">
                  <c:v>365</c:v>
                </c:pt>
                <c:pt idx="5">
                  <c:v>416</c:v>
                </c:pt>
                <c:pt idx="6">
                  <c:v>397</c:v>
                </c:pt>
                <c:pt idx="7">
                  <c:v>445</c:v>
                </c:pt>
                <c:pt idx="8">
                  <c:v>455</c:v>
                </c:pt>
                <c:pt idx="9">
                  <c:v>447</c:v>
                </c:pt>
                <c:pt idx="10">
                  <c:v>490</c:v>
                </c:pt>
                <c:pt idx="11">
                  <c:v>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9E-4C78-A7DD-3EF400DF845B}"/>
            </c:ext>
          </c:extLst>
        </c:ser>
        <c:ser>
          <c:idx val="1"/>
          <c:order val="1"/>
          <c:tx>
            <c:strRef>
              <c:f>Actual_vs_Budget!$Q$34</c:f>
              <c:strCache>
                <c:ptCount val="1"/>
                <c:pt idx="0">
                  <c:v>EBITDA 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Actual_vs_Budget!$O$35:$O$46</c:f>
              <c:numCache>
                <c:formatCode>mmm\-yy</c:formatCode>
                <c:ptCount val="12"/>
                <c:pt idx="0">
                  <c:v>46504</c:v>
                </c:pt>
                <c:pt idx="1">
                  <c:v>46534</c:v>
                </c:pt>
                <c:pt idx="2">
                  <c:v>46565</c:v>
                </c:pt>
                <c:pt idx="3">
                  <c:v>46595</c:v>
                </c:pt>
                <c:pt idx="4">
                  <c:v>46626</c:v>
                </c:pt>
                <c:pt idx="5">
                  <c:v>46657</c:v>
                </c:pt>
                <c:pt idx="6">
                  <c:v>46687</c:v>
                </c:pt>
                <c:pt idx="7">
                  <c:v>46718</c:v>
                </c:pt>
                <c:pt idx="8">
                  <c:v>46748</c:v>
                </c:pt>
                <c:pt idx="9">
                  <c:v>46779</c:v>
                </c:pt>
                <c:pt idx="10">
                  <c:v>46810</c:v>
                </c:pt>
                <c:pt idx="11">
                  <c:v>46839</c:v>
                </c:pt>
              </c:numCache>
            </c:numRef>
          </c:cat>
          <c:val>
            <c:numRef>
              <c:f>Actual_vs_Budget!$Q$35:$Q$46</c:f>
              <c:numCache>
                <c:formatCode>General</c:formatCode>
                <c:ptCount val="12"/>
                <c:pt idx="0">
                  <c:v>327.6400000000001</c:v>
                </c:pt>
                <c:pt idx="1">
                  <c:v>351.13000000000005</c:v>
                </c:pt>
                <c:pt idx="2">
                  <c:v>364.69000000000005</c:v>
                </c:pt>
                <c:pt idx="3">
                  <c:v>379.28</c:v>
                </c:pt>
                <c:pt idx="4">
                  <c:v>393.90000000000015</c:v>
                </c:pt>
                <c:pt idx="5">
                  <c:v>413</c:v>
                </c:pt>
                <c:pt idx="6">
                  <c:v>429.99000000000007</c:v>
                </c:pt>
                <c:pt idx="7">
                  <c:v>447.90000000000003</c:v>
                </c:pt>
                <c:pt idx="8">
                  <c:v>467.06000000000006</c:v>
                </c:pt>
                <c:pt idx="9">
                  <c:v>485.16000000000014</c:v>
                </c:pt>
                <c:pt idx="10">
                  <c:v>503.03000000000009</c:v>
                </c:pt>
                <c:pt idx="11">
                  <c:v>538.00000000000011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9E-4C78-A7DD-3EF400DF8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0874943"/>
        <c:axId val="1283608111"/>
      </c:lineChart>
      <c:dateAx>
        <c:axId val="12808749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608111"/>
        <c:crosses val="autoZero"/>
        <c:auto val="1"/>
        <c:lblOffset val="100"/>
        <c:baseTimeUnit val="months"/>
      </c:dateAx>
      <c:valAx>
        <c:axId val="128360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87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FY2027 Monthly EBITDA – Actual vs Budget</a:t>
            </a:r>
            <a:endParaRPr lang="en-US" b="1"/>
          </a:p>
        </c:rich>
      </c:tx>
      <c:layout>
        <c:manualLayout>
          <c:xMode val="edge"/>
          <c:yMode val="edge"/>
          <c:x val="0.27847222222222223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900481189851263E-2"/>
          <c:y val="0.16708333333333336"/>
          <c:w val="0.88265507436570434"/>
          <c:h val="0.6714577865266842"/>
        </c:manualLayout>
      </c:layout>
      <c:lineChart>
        <c:grouping val="standard"/>
        <c:varyColors val="0"/>
        <c:ser>
          <c:idx val="0"/>
          <c:order val="0"/>
          <c:tx>
            <c:strRef>
              <c:f>Actual_vs_Budget!$P$34</c:f>
              <c:strCache>
                <c:ptCount val="1"/>
                <c:pt idx="0">
                  <c:v>EBITDA 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Actual_vs_Budget!$O$35:$O$46</c:f>
              <c:numCache>
                <c:formatCode>mmm\-yy</c:formatCode>
                <c:ptCount val="12"/>
                <c:pt idx="0">
                  <c:v>46504</c:v>
                </c:pt>
                <c:pt idx="1">
                  <c:v>46534</c:v>
                </c:pt>
                <c:pt idx="2">
                  <c:v>46565</c:v>
                </c:pt>
                <c:pt idx="3">
                  <c:v>46595</c:v>
                </c:pt>
                <c:pt idx="4">
                  <c:v>46626</c:v>
                </c:pt>
                <c:pt idx="5">
                  <c:v>46657</c:v>
                </c:pt>
                <c:pt idx="6">
                  <c:v>46687</c:v>
                </c:pt>
                <c:pt idx="7">
                  <c:v>46718</c:v>
                </c:pt>
                <c:pt idx="8">
                  <c:v>46748</c:v>
                </c:pt>
                <c:pt idx="9">
                  <c:v>46779</c:v>
                </c:pt>
                <c:pt idx="10">
                  <c:v>46810</c:v>
                </c:pt>
                <c:pt idx="11">
                  <c:v>46839</c:v>
                </c:pt>
              </c:numCache>
            </c:numRef>
          </c:cat>
          <c:val>
            <c:numRef>
              <c:f>Actual_vs_Budget!$P$35:$P$46</c:f>
              <c:numCache>
                <c:formatCode>General</c:formatCode>
                <c:ptCount val="12"/>
                <c:pt idx="0">
                  <c:v>212</c:v>
                </c:pt>
                <c:pt idx="1">
                  <c:v>348</c:v>
                </c:pt>
                <c:pt idx="2">
                  <c:v>350</c:v>
                </c:pt>
                <c:pt idx="3">
                  <c:v>385</c:v>
                </c:pt>
                <c:pt idx="4">
                  <c:v>365</c:v>
                </c:pt>
                <c:pt idx="5">
                  <c:v>416</c:v>
                </c:pt>
                <c:pt idx="6">
                  <c:v>397</c:v>
                </c:pt>
                <c:pt idx="7">
                  <c:v>445</c:v>
                </c:pt>
                <c:pt idx="8">
                  <c:v>455</c:v>
                </c:pt>
                <c:pt idx="9">
                  <c:v>447</c:v>
                </c:pt>
                <c:pt idx="10">
                  <c:v>490</c:v>
                </c:pt>
                <c:pt idx="11">
                  <c:v>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B4-4EB8-9D6A-F3E21F3C706B}"/>
            </c:ext>
          </c:extLst>
        </c:ser>
        <c:ser>
          <c:idx val="1"/>
          <c:order val="1"/>
          <c:tx>
            <c:strRef>
              <c:f>Actual_vs_Budget!$Q$34</c:f>
              <c:strCache>
                <c:ptCount val="1"/>
                <c:pt idx="0">
                  <c:v>EBITDA 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Actual_vs_Budget!$O$35:$O$46</c:f>
              <c:numCache>
                <c:formatCode>mmm\-yy</c:formatCode>
                <c:ptCount val="12"/>
                <c:pt idx="0">
                  <c:v>46504</c:v>
                </c:pt>
                <c:pt idx="1">
                  <c:v>46534</c:v>
                </c:pt>
                <c:pt idx="2">
                  <c:v>46565</c:v>
                </c:pt>
                <c:pt idx="3">
                  <c:v>46595</c:v>
                </c:pt>
                <c:pt idx="4">
                  <c:v>46626</c:v>
                </c:pt>
                <c:pt idx="5">
                  <c:v>46657</c:v>
                </c:pt>
                <c:pt idx="6">
                  <c:v>46687</c:v>
                </c:pt>
                <c:pt idx="7">
                  <c:v>46718</c:v>
                </c:pt>
                <c:pt idx="8">
                  <c:v>46748</c:v>
                </c:pt>
                <c:pt idx="9">
                  <c:v>46779</c:v>
                </c:pt>
                <c:pt idx="10">
                  <c:v>46810</c:v>
                </c:pt>
                <c:pt idx="11">
                  <c:v>46839</c:v>
                </c:pt>
              </c:numCache>
            </c:numRef>
          </c:cat>
          <c:val>
            <c:numRef>
              <c:f>Actual_vs_Budget!$Q$35:$Q$46</c:f>
              <c:numCache>
                <c:formatCode>General</c:formatCode>
                <c:ptCount val="12"/>
                <c:pt idx="0">
                  <c:v>327.6400000000001</c:v>
                </c:pt>
                <c:pt idx="1">
                  <c:v>351.13000000000005</c:v>
                </c:pt>
                <c:pt idx="2">
                  <c:v>364.69000000000005</c:v>
                </c:pt>
                <c:pt idx="3">
                  <c:v>379.28</c:v>
                </c:pt>
                <c:pt idx="4">
                  <c:v>393.90000000000015</c:v>
                </c:pt>
                <c:pt idx="5">
                  <c:v>413</c:v>
                </c:pt>
                <c:pt idx="6">
                  <c:v>429.99000000000007</c:v>
                </c:pt>
                <c:pt idx="7">
                  <c:v>447.90000000000003</c:v>
                </c:pt>
                <c:pt idx="8">
                  <c:v>467.06000000000006</c:v>
                </c:pt>
                <c:pt idx="9">
                  <c:v>485.16000000000014</c:v>
                </c:pt>
                <c:pt idx="10">
                  <c:v>503.03000000000009</c:v>
                </c:pt>
                <c:pt idx="11">
                  <c:v>538.00000000000011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B4-4EB8-9D6A-F3E21F3C7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0874943"/>
        <c:axId val="1283608111"/>
      </c:lineChart>
      <c:dateAx>
        <c:axId val="12808749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608111"/>
        <c:crosses val="autoZero"/>
        <c:auto val="1"/>
        <c:lblOffset val="100"/>
        <c:baseTimeUnit val="months"/>
      </c:dateAx>
      <c:valAx>
        <c:axId val="128360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87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7</xdr:row>
      <xdr:rowOff>121920</xdr:rowOff>
    </xdr:from>
    <xdr:to>
      <xdr:col>8</xdr:col>
      <xdr:colOff>1379220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BBDA9A-39B6-EDA3-1D4B-DA567F38A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22860</xdr:colOff>
      <xdr:row>0</xdr:row>
      <xdr:rowOff>167640</xdr:rowOff>
    </xdr:from>
    <xdr:to>
      <xdr:col>16</xdr:col>
      <xdr:colOff>548640</xdr:colOff>
      <xdr:row>15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33231F-DC1F-6ABF-A572-EEF8F64096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601980</xdr:colOff>
      <xdr:row>26</xdr:row>
      <xdr:rowOff>26670</xdr:rowOff>
    </xdr:from>
    <xdr:to>
      <xdr:col>13</xdr:col>
      <xdr:colOff>563880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A830C3-EE12-0883-D02F-F73896FF4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7620</xdr:colOff>
      <xdr:row>32</xdr:row>
      <xdr:rowOff>11430</xdr:rowOff>
    </xdr:from>
    <xdr:to>
      <xdr:col>27</xdr:col>
      <xdr:colOff>541020</xdr:colOff>
      <xdr:row>47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5C0A61-8A16-117A-0607-BB146F9E6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952500</xdr:colOff>
      <xdr:row>8</xdr:row>
      <xdr:rowOff>129540</xdr:rowOff>
    </xdr:from>
    <xdr:to>
      <xdr:col>10</xdr:col>
      <xdr:colOff>579120</xdr:colOff>
      <xdr:row>21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7F1E4F-A936-427C-AEE6-58FC6DE10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B73EA1-B308-4875-9276-B9C7671FC93D}" name="Raw_Actuals" displayName="Raw_Actuals" ref="A1:I121" totalsRowShown="0" headerRowDxfId="1">
  <autoFilter ref="A1:I121" xr:uid="{52B73EA1-B308-4875-9276-B9C7671FC93D}"/>
  <tableColumns count="9">
    <tableColumn id="1" xr3:uid="{1347836D-F97A-48EE-A621-5EED8E986E25}" name="Month"/>
    <tableColumn id="2" xr3:uid="{5BE731F6-28FD-4F5D-B90D-BAC9662273C8}" name="Business_Unit"/>
    <tableColumn id="3" xr3:uid="{9B2A6A65-257B-4FDC-822A-D5056A89092D}" name="Department"/>
    <tableColumn id="4" xr3:uid="{2086397F-A4FF-4C49-BF70-4F21E912A6E8}" name="Account_Category"/>
    <tableColumn id="5" xr3:uid="{02C8909E-7B7C-4467-9F05-4B4BB9CE1357}" name="Account_Name"/>
    <tableColumn id="6" xr3:uid="{4C035160-03CA-463F-9947-AF69198F10E4}" name="Amount_INR_Lakh"/>
    <tableColumn id="7" xr3:uid="{C9D5A580-1E79-4AAE-80A7-37A8A1D8D4A2}" name="Actual_Budget_Status"/>
    <tableColumn id="8" xr3:uid="{53D8C9BB-DFBA-41EE-9D3F-072B45C5BD51}" name="Source_Owner"/>
    <tableColumn id="9" xr3:uid="{13241FA5-505B-4314-8E16-7D864B772BEE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B49CC-2670-4638-8778-EF6E4B2B4637}">
  <dimension ref="A1:I121"/>
  <sheetViews>
    <sheetView topLeftCell="A101" workbookViewId="0">
      <selection activeCell="A2" sqref="A2:A9"/>
    </sheetView>
  </sheetViews>
  <sheetFormatPr defaultRowHeight="14.4"/>
  <cols>
    <col min="2" max="3" width="15.88671875" bestFit="1" customWidth="1"/>
    <col min="4" max="4" width="18.44140625" customWidth="1"/>
    <col min="5" max="5" width="26.109375" bestFit="1" customWidth="1"/>
    <col min="6" max="6" width="24.21875" customWidth="1"/>
    <col min="7" max="7" width="21.44140625" customWidth="1"/>
    <col min="8" max="8" width="15.21875" customWidth="1"/>
    <col min="9" max="9" width="23.886718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320</v>
      </c>
      <c r="G2" t="s">
        <v>14</v>
      </c>
      <c r="H2" t="s">
        <v>15</v>
      </c>
      <c r="I2" t="s">
        <v>16</v>
      </c>
    </row>
    <row r="3" spans="1:9">
      <c r="A3" t="s">
        <v>9</v>
      </c>
      <c r="B3" t="s">
        <v>17</v>
      </c>
      <c r="C3" t="s">
        <v>18</v>
      </c>
      <c r="D3" t="s">
        <v>12</v>
      </c>
      <c r="E3" t="s">
        <v>19</v>
      </c>
      <c r="F3">
        <v>205</v>
      </c>
      <c r="G3" t="s">
        <v>14</v>
      </c>
      <c r="H3" t="s">
        <v>15</v>
      </c>
      <c r="I3" t="s">
        <v>16</v>
      </c>
    </row>
    <row r="4" spans="1:9">
      <c r="A4" t="s">
        <v>9</v>
      </c>
      <c r="B4" t="s">
        <v>20</v>
      </c>
      <c r="C4" t="s">
        <v>21</v>
      </c>
      <c r="D4" t="s">
        <v>12</v>
      </c>
      <c r="E4" t="s">
        <v>22</v>
      </c>
      <c r="F4">
        <v>125</v>
      </c>
      <c r="G4" t="s">
        <v>14</v>
      </c>
      <c r="H4" t="s">
        <v>15</v>
      </c>
      <c r="I4" t="s">
        <v>16</v>
      </c>
    </row>
    <row r="5" spans="1:9">
      <c r="A5" t="s">
        <v>9</v>
      </c>
      <c r="B5" t="s">
        <v>23</v>
      </c>
      <c r="C5" t="s">
        <v>24</v>
      </c>
      <c r="D5" t="s">
        <v>25</v>
      </c>
      <c r="E5" t="s">
        <v>26</v>
      </c>
      <c r="F5">
        <v>250</v>
      </c>
      <c r="G5" t="s">
        <v>14</v>
      </c>
      <c r="H5" t="s">
        <v>15</v>
      </c>
      <c r="I5" t="s">
        <v>27</v>
      </c>
    </row>
    <row r="6" spans="1:9">
      <c r="A6" t="s">
        <v>9</v>
      </c>
      <c r="B6" t="s">
        <v>23</v>
      </c>
      <c r="C6" t="s">
        <v>28</v>
      </c>
      <c r="D6" t="s">
        <v>25</v>
      </c>
      <c r="E6" t="s">
        <v>29</v>
      </c>
      <c r="F6">
        <v>48</v>
      </c>
      <c r="G6" t="s">
        <v>14</v>
      </c>
      <c r="H6" t="s">
        <v>15</v>
      </c>
      <c r="I6" t="s">
        <v>30</v>
      </c>
    </row>
    <row r="7" spans="1:9">
      <c r="A7" t="s">
        <v>9</v>
      </c>
      <c r="B7" t="s">
        <v>23</v>
      </c>
      <c r="C7" t="s">
        <v>31</v>
      </c>
      <c r="D7" t="s">
        <v>25</v>
      </c>
      <c r="E7" t="s">
        <v>32</v>
      </c>
      <c r="F7">
        <v>28</v>
      </c>
      <c r="G7" t="s">
        <v>14</v>
      </c>
      <c r="H7" t="s">
        <v>15</v>
      </c>
      <c r="I7" t="s">
        <v>33</v>
      </c>
    </row>
    <row r="8" spans="1:9">
      <c r="A8" t="s">
        <v>9</v>
      </c>
      <c r="B8" t="s">
        <v>23</v>
      </c>
      <c r="C8" t="s">
        <v>34</v>
      </c>
      <c r="D8" t="s">
        <v>25</v>
      </c>
      <c r="E8" t="s">
        <v>35</v>
      </c>
      <c r="F8">
        <v>18</v>
      </c>
      <c r="G8" t="s">
        <v>14</v>
      </c>
      <c r="H8" t="s">
        <v>15</v>
      </c>
      <c r="I8" t="s">
        <v>36</v>
      </c>
    </row>
    <row r="9" spans="1:9">
      <c r="A9" t="s">
        <v>9</v>
      </c>
      <c r="B9" t="s">
        <v>23</v>
      </c>
      <c r="C9" t="s">
        <v>15</v>
      </c>
      <c r="D9" t="s">
        <v>25</v>
      </c>
      <c r="E9" t="s">
        <v>37</v>
      </c>
      <c r="F9">
        <v>22</v>
      </c>
      <c r="G9" t="s">
        <v>14</v>
      </c>
      <c r="H9" t="s">
        <v>15</v>
      </c>
      <c r="I9" t="s">
        <v>38</v>
      </c>
    </row>
    <row r="10" spans="1:9">
      <c r="A10" t="s">
        <v>9</v>
      </c>
      <c r="B10" t="s">
        <v>23</v>
      </c>
      <c r="C10" t="s">
        <v>15</v>
      </c>
      <c r="D10" t="s">
        <v>39</v>
      </c>
      <c r="E10" t="s">
        <v>40</v>
      </c>
      <c r="F10">
        <v>17</v>
      </c>
      <c r="G10" t="s">
        <v>14</v>
      </c>
      <c r="H10" t="s">
        <v>15</v>
      </c>
      <c r="I10" t="s">
        <v>41</v>
      </c>
    </row>
    <row r="11" spans="1:9">
      <c r="A11" t="s">
        <v>9</v>
      </c>
      <c r="B11" t="s">
        <v>23</v>
      </c>
      <c r="C11" t="s">
        <v>42</v>
      </c>
      <c r="D11" t="s">
        <v>39</v>
      </c>
      <c r="E11" t="s">
        <v>43</v>
      </c>
      <c r="F11">
        <v>9</v>
      </c>
      <c r="G11" t="s">
        <v>14</v>
      </c>
      <c r="H11" t="s">
        <v>15</v>
      </c>
      <c r="I11" t="s">
        <v>44</v>
      </c>
    </row>
    <row r="12" spans="1:9">
      <c r="A12" t="s">
        <v>45</v>
      </c>
      <c r="B12" t="s">
        <v>10</v>
      </c>
      <c r="C12" t="s">
        <v>11</v>
      </c>
      <c r="D12" t="s">
        <v>12</v>
      </c>
      <c r="E12" t="s">
        <v>13</v>
      </c>
      <c r="F12">
        <v>335</v>
      </c>
      <c r="G12" t="s">
        <v>14</v>
      </c>
      <c r="H12" t="s">
        <v>15</v>
      </c>
      <c r="I12" t="s">
        <v>16</v>
      </c>
    </row>
    <row r="13" spans="1:9">
      <c r="A13" t="s">
        <v>45</v>
      </c>
      <c r="B13" t="s">
        <v>17</v>
      </c>
      <c r="C13" t="s">
        <v>18</v>
      </c>
      <c r="D13" t="s">
        <v>12</v>
      </c>
      <c r="E13" t="s">
        <v>19</v>
      </c>
      <c r="F13">
        <v>210</v>
      </c>
      <c r="G13" t="s">
        <v>14</v>
      </c>
      <c r="H13" t="s">
        <v>15</v>
      </c>
      <c r="I13" t="s">
        <v>16</v>
      </c>
    </row>
    <row r="14" spans="1:9">
      <c r="A14" t="s">
        <v>45</v>
      </c>
      <c r="B14" t="s">
        <v>20</v>
      </c>
      <c r="C14" t="s">
        <v>21</v>
      </c>
      <c r="D14" t="s">
        <v>12</v>
      </c>
      <c r="E14" t="s">
        <v>22</v>
      </c>
      <c r="F14">
        <v>130</v>
      </c>
      <c r="G14" t="s">
        <v>14</v>
      </c>
      <c r="H14" t="s">
        <v>15</v>
      </c>
      <c r="I14" t="s">
        <v>16</v>
      </c>
    </row>
    <row r="15" spans="1:9">
      <c r="A15" t="s">
        <v>45</v>
      </c>
      <c r="B15" t="s">
        <v>23</v>
      </c>
      <c r="C15" t="s">
        <v>24</v>
      </c>
      <c r="D15" t="s">
        <v>25</v>
      </c>
      <c r="E15" t="s">
        <v>26</v>
      </c>
      <c r="F15">
        <v>252</v>
      </c>
      <c r="G15" t="s">
        <v>14</v>
      </c>
      <c r="H15" t="s">
        <v>15</v>
      </c>
      <c r="I15" t="s">
        <v>27</v>
      </c>
    </row>
    <row r="16" spans="1:9">
      <c r="A16" t="s">
        <v>45</v>
      </c>
      <c r="B16" t="s">
        <v>23</v>
      </c>
      <c r="C16" t="s">
        <v>28</v>
      </c>
      <c r="D16" t="s">
        <v>25</v>
      </c>
      <c r="E16" t="s">
        <v>29</v>
      </c>
      <c r="F16">
        <v>48</v>
      </c>
      <c r="G16" t="s">
        <v>14</v>
      </c>
      <c r="H16" t="s">
        <v>15</v>
      </c>
      <c r="I16" t="s">
        <v>30</v>
      </c>
    </row>
    <row r="17" spans="1:9">
      <c r="A17" t="s">
        <v>45</v>
      </c>
      <c r="B17" t="s">
        <v>23</v>
      </c>
      <c r="C17" t="s">
        <v>31</v>
      </c>
      <c r="D17" t="s">
        <v>25</v>
      </c>
      <c r="E17" t="s">
        <v>32</v>
      </c>
      <c r="F17">
        <v>29</v>
      </c>
      <c r="G17" t="s">
        <v>14</v>
      </c>
      <c r="H17" t="s">
        <v>15</v>
      </c>
      <c r="I17" t="s">
        <v>33</v>
      </c>
    </row>
    <row r="18" spans="1:9">
      <c r="A18" t="s">
        <v>45</v>
      </c>
      <c r="B18" t="s">
        <v>23</v>
      </c>
      <c r="C18" t="s">
        <v>34</v>
      </c>
      <c r="D18" t="s">
        <v>25</v>
      </c>
      <c r="E18" t="s">
        <v>35</v>
      </c>
      <c r="F18">
        <v>20</v>
      </c>
      <c r="G18" t="s">
        <v>14</v>
      </c>
      <c r="H18" t="s">
        <v>15</v>
      </c>
      <c r="I18" t="s">
        <v>36</v>
      </c>
    </row>
    <row r="19" spans="1:9">
      <c r="A19" t="s">
        <v>45</v>
      </c>
      <c r="B19" t="s">
        <v>23</v>
      </c>
      <c r="C19" t="s">
        <v>15</v>
      </c>
      <c r="D19" t="s">
        <v>25</v>
      </c>
      <c r="E19" t="s">
        <v>37</v>
      </c>
      <c r="F19">
        <v>21</v>
      </c>
      <c r="G19" t="s">
        <v>14</v>
      </c>
      <c r="H19" t="s">
        <v>15</v>
      </c>
      <c r="I19" t="s">
        <v>38</v>
      </c>
    </row>
    <row r="20" spans="1:9">
      <c r="A20" t="s">
        <v>45</v>
      </c>
      <c r="B20" t="s">
        <v>23</v>
      </c>
      <c r="C20" t="s">
        <v>15</v>
      </c>
      <c r="D20" t="s">
        <v>39</v>
      </c>
      <c r="E20" t="s">
        <v>40</v>
      </c>
      <c r="F20">
        <v>17</v>
      </c>
      <c r="G20" t="s">
        <v>14</v>
      </c>
      <c r="H20" t="s">
        <v>15</v>
      </c>
      <c r="I20" t="s">
        <v>41</v>
      </c>
    </row>
    <row r="21" spans="1:9">
      <c r="A21" t="s">
        <v>45</v>
      </c>
      <c r="B21" t="s">
        <v>23</v>
      </c>
      <c r="C21" t="s">
        <v>42</v>
      </c>
      <c r="D21" t="s">
        <v>39</v>
      </c>
      <c r="E21" t="s">
        <v>43</v>
      </c>
      <c r="F21">
        <v>9</v>
      </c>
      <c r="G21" t="s">
        <v>14</v>
      </c>
      <c r="H21" t="s">
        <v>15</v>
      </c>
      <c r="I21" t="s">
        <v>44</v>
      </c>
    </row>
    <row r="22" spans="1:9">
      <c r="A22" t="s">
        <v>46</v>
      </c>
      <c r="B22" t="s">
        <v>10</v>
      </c>
      <c r="C22" t="s">
        <v>11</v>
      </c>
      <c r="D22" t="s">
        <v>12</v>
      </c>
      <c r="E22" t="s">
        <v>13</v>
      </c>
      <c r="F22">
        <v>345</v>
      </c>
      <c r="G22" t="s">
        <v>14</v>
      </c>
      <c r="H22" t="s">
        <v>15</v>
      </c>
      <c r="I22" t="s">
        <v>16</v>
      </c>
    </row>
    <row r="23" spans="1:9">
      <c r="A23" t="s">
        <v>46</v>
      </c>
      <c r="B23" t="s">
        <v>17</v>
      </c>
      <c r="C23" t="s">
        <v>18</v>
      </c>
      <c r="D23" t="s">
        <v>12</v>
      </c>
      <c r="E23" t="s">
        <v>19</v>
      </c>
      <c r="F23">
        <v>215</v>
      </c>
      <c r="G23" t="s">
        <v>14</v>
      </c>
      <c r="H23" t="s">
        <v>15</v>
      </c>
      <c r="I23" t="s">
        <v>16</v>
      </c>
    </row>
    <row r="24" spans="1:9">
      <c r="A24" t="s">
        <v>46</v>
      </c>
      <c r="B24" t="s">
        <v>20</v>
      </c>
      <c r="C24" t="s">
        <v>21</v>
      </c>
      <c r="D24" t="s">
        <v>12</v>
      </c>
      <c r="E24" t="s">
        <v>22</v>
      </c>
      <c r="F24">
        <v>138</v>
      </c>
      <c r="G24" t="s">
        <v>14</v>
      </c>
      <c r="H24" t="s">
        <v>15</v>
      </c>
      <c r="I24" t="s">
        <v>16</v>
      </c>
    </row>
    <row r="25" spans="1:9">
      <c r="A25" t="s">
        <v>46</v>
      </c>
      <c r="B25" t="s">
        <v>23</v>
      </c>
      <c r="C25" t="s">
        <v>24</v>
      </c>
      <c r="D25" t="s">
        <v>25</v>
      </c>
      <c r="E25" t="s">
        <v>26</v>
      </c>
      <c r="F25">
        <v>255</v>
      </c>
      <c r="G25" t="s">
        <v>14</v>
      </c>
      <c r="H25" t="s">
        <v>15</v>
      </c>
      <c r="I25" t="s">
        <v>27</v>
      </c>
    </row>
    <row r="26" spans="1:9">
      <c r="A26" t="s">
        <v>46</v>
      </c>
      <c r="B26" t="s">
        <v>23</v>
      </c>
      <c r="C26" t="s">
        <v>28</v>
      </c>
      <c r="D26" t="s">
        <v>25</v>
      </c>
      <c r="E26" t="s">
        <v>29</v>
      </c>
      <c r="F26">
        <v>48</v>
      </c>
      <c r="G26" t="s">
        <v>14</v>
      </c>
      <c r="H26" t="s">
        <v>15</v>
      </c>
      <c r="I26" t="s">
        <v>30</v>
      </c>
    </row>
    <row r="27" spans="1:9">
      <c r="A27" t="s">
        <v>46</v>
      </c>
      <c r="B27" t="s">
        <v>23</v>
      </c>
      <c r="C27" t="s">
        <v>31</v>
      </c>
      <c r="D27" t="s">
        <v>25</v>
      </c>
      <c r="E27" t="s">
        <v>32</v>
      </c>
      <c r="F27">
        <v>31</v>
      </c>
      <c r="G27" t="s">
        <v>14</v>
      </c>
      <c r="H27" t="s">
        <v>15</v>
      </c>
      <c r="I27" t="s">
        <v>33</v>
      </c>
    </row>
    <row r="28" spans="1:9">
      <c r="A28" t="s">
        <v>46</v>
      </c>
      <c r="B28" t="s">
        <v>23</v>
      </c>
      <c r="C28" t="s">
        <v>34</v>
      </c>
      <c r="D28" t="s">
        <v>25</v>
      </c>
      <c r="E28" t="s">
        <v>35</v>
      </c>
      <c r="F28">
        <v>24</v>
      </c>
      <c r="G28" t="s">
        <v>14</v>
      </c>
      <c r="H28" t="s">
        <v>15</v>
      </c>
      <c r="I28" t="s">
        <v>36</v>
      </c>
    </row>
    <row r="29" spans="1:9">
      <c r="A29" t="s">
        <v>46</v>
      </c>
      <c r="B29" t="s">
        <v>23</v>
      </c>
      <c r="C29" t="s">
        <v>15</v>
      </c>
      <c r="D29" t="s">
        <v>25</v>
      </c>
      <c r="E29" t="s">
        <v>37</v>
      </c>
      <c r="F29">
        <v>23</v>
      </c>
      <c r="G29" t="s">
        <v>14</v>
      </c>
      <c r="H29" t="s">
        <v>15</v>
      </c>
      <c r="I29" t="s">
        <v>38</v>
      </c>
    </row>
    <row r="30" spans="1:9">
      <c r="A30" t="s">
        <v>46</v>
      </c>
      <c r="B30" t="s">
        <v>23</v>
      </c>
      <c r="C30" t="s">
        <v>15</v>
      </c>
      <c r="D30" t="s">
        <v>39</v>
      </c>
      <c r="E30" t="s">
        <v>40</v>
      </c>
      <c r="F30">
        <v>17</v>
      </c>
      <c r="G30" t="s">
        <v>14</v>
      </c>
      <c r="H30" t="s">
        <v>15</v>
      </c>
      <c r="I30" t="s">
        <v>41</v>
      </c>
    </row>
    <row r="31" spans="1:9">
      <c r="A31" t="s">
        <v>46</v>
      </c>
      <c r="B31" t="s">
        <v>23</v>
      </c>
      <c r="C31" t="s">
        <v>42</v>
      </c>
      <c r="D31" t="s">
        <v>39</v>
      </c>
      <c r="E31" t="s">
        <v>43</v>
      </c>
      <c r="F31">
        <v>9</v>
      </c>
      <c r="G31" t="s">
        <v>14</v>
      </c>
      <c r="H31" t="s">
        <v>15</v>
      </c>
      <c r="I31" t="s">
        <v>44</v>
      </c>
    </row>
    <row r="32" spans="1:9">
      <c r="A32" t="s">
        <v>47</v>
      </c>
      <c r="B32" t="s">
        <v>10</v>
      </c>
      <c r="C32" t="s">
        <v>11</v>
      </c>
      <c r="D32" t="s">
        <v>12</v>
      </c>
      <c r="E32" t="s">
        <v>13</v>
      </c>
      <c r="F32">
        <v>350</v>
      </c>
      <c r="G32" t="s">
        <v>14</v>
      </c>
      <c r="H32" t="s">
        <v>15</v>
      </c>
      <c r="I32" t="s">
        <v>16</v>
      </c>
    </row>
    <row r="33" spans="1:9">
      <c r="A33" t="s">
        <v>47</v>
      </c>
      <c r="B33" t="s">
        <v>17</v>
      </c>
      <c r="C33" t="s">
        <v>18</v>
      </c>
      <c r="D33" t="s">
        <v>12</v>
      </c>
      <c r="E33" t="s">
        <v>19</v>
      </c>
      <c r="F33">
        <v>218</v>
      </c>
      <c r="G33" t="s">
        <v>14</v>
      </c>
      <c r="H33" t="s">
        <v>15</v>
      </c>
      <c r="I33" t="s">
        <v>16</v>
      </c>
    </row>
    <row r="34" spans="1:9">
      <c r="A34" t="s">
        <v>47</v>
      </c>
      <c r="B34" t="s">
        <v>20</v>
      </c>
      <c r="C34" t="s">
        <v>21</v>
      </c>
      <c r="D34" t="s">
        <v>12</v>
      </c>
      <c r="E34" t="s">
        <v>22</v>
      </c>
      <c r="F34">
        <v>142</v>
      </c>
      <c r="G34" t="s">
        <v>14</v>
      </c>
      <c r="H34" t="s">
        <v>15</v>
      </c>
      <c r="I34" t="s">
        <v>16</v>
      </c>
    </row>
    <row r="35" spans="1:9">
      <c r="A35" t="s">
        <v>47</v>
      </c>
      <c r="B35" t="s">
        <v>23</v>
      </c>
      <c r="C35" t="s">
        <v>24</v>
      </c>
      <c r="D35" t="s">
        <v>25</v>
      </c>
      <c r="E35" t="s">
        <v>26</v>
      </c>
      <c r="F35">
        <v>258</v>
      </c>
      <c r="G35" t="s">
        <v>14</v>
      </c>
      <c r="H35" t="s">
        <v>15</v>
      </c>
      <c r="I35" t="s">
        <v>48</v>
      </c>
    </row>
    <row r="36" spans="1:9">
      <c r="A36" t="s">
        <v>47</v>
      </c>
      <c r="B36" t="s">
        <v>23</v>
      </c>
      <c r="C36" t="s">
        <v>28</v>
      </c>
      <c r="D36" t="s">
        <v>25</v>
      </c>
      <c r="E36" t="s">
        <v>29</v>
      </c>
      <c r="F36">
        <v>48</v>
      </c>
      <c r="G36" t="s">
        <v>14</v>
      </c>
      <c r="H36" t="s">
        <v>15</v>
      </c>
      <c r="I36" t="s">
        <v>48</v>
      </c>
    </row>
    <row r="37" spans="1:9">
      <c r="A37" t="s">
        <v>47</v>
      </c>
      <c r="B37" t="s">
        <v>23</v>
      </c>
      <c r="C37" t="s">
        <v>31</v>
      </c>
      <c r="D37" t="s">
        <v>25</v>
      </c>
      <c r="E37" t="s">
        <v>32</v>
      </c>
      <c r="F37">
        <v>30</v>
      </c>
      <c r="G37" t="s">
        <v>14</v>
      </c>
      <c r="H37" t="s">
        <v>15</v>
      </c>
      <c r="I37" t="s">
        <v>48</v>
      </c>
    </row>
    <row r="38" spans="1:9">
      <c r="A38" t="s">
        <v>47</v>
      </c>
      <c r="B38" t="s">
        <v>23</v>
      </c>
      <c r="C38" t="s">
        <v>34</v>
      </c>
      <c r="D38" t="s">
        <v>25</v>
      </c>
      <c r="E38" t="s">
        <v>35</v>
      </c>
      <c r="F38">
        <v>22</v>
      </c>
      <c r="G38" t="s">
        <v>14</v>
      </c>
      <c r="H38" t="s">
        <v>15</v>
      </c>
      <c r="I38" t="s">
        <v>48</v>
      </c>
    </row>
    <row r="39" spans="1:9">
      <c r="A39" t="s">
        <v>47</v>
      </c>
      <c r="B39" t="s">
        <v>23</v>
      </c>
      <c r="C39" t="s">
        <v>15</v>
      </c>
      <c r="D39" t="s">
        <v>25</v>
      </c>
      <c r="E39" t="s">
        <v>37</v>
      </c>
      <c r="F39">
        <v>22</v>
      </c>
      <c r="G39" t="s">
        <v>14</v>
      </c>
      <c r="H39" t="s">
        <v>15</v>
      </c>
      <c r="I39" t="s">
        <v>48</v>
      </c>
    </row>
    <row r="40" spans="1:9">
      <c r="A40" t="s">
        <v>47</v>
      </c>
      <c r="B40" t="s">
        <v>23</v>
      </c>
      <c r="C40" t="s">
        <v>15</v>
      </c>
      <c r="D40" t="s">
        <v>39</v>
      </c>
      <c r="E40" t="s">
        <v>40</v>
      </c>
      <c r="F40">
        <v>17</v>
      </c>
      <c r="G40" t="s">
        <v>14</v>
      </c>
      <c r="H40" t="s">
        <v>15</v>
      </c>
      <c r="I40" t="s">
        <v>48</v>
      </c>
    </row>
    <row r="41" spans="1:9">
      <c r="A41" t="s">
        <v>47</v>
      </c>
      <c r="B41" t="s">
        <v>23</v>
      </c>
      <c r="C41" t="s">
        <v>42</v>
      </c>
      <c r="D41" t="s">
        <v>39</v>
      </c>
      <c r="E41" t="s">
        <v>43</v>
      </c>
      <c r="F41">
        <v>9</v>
      </c>
      <c r="G41" t="s">
        <v>14</v>
      </c>
      <c r="H41" t="s">
        <v>15</v>
      </c>
      <c r="I41" t="s">
        <v>48</v>
      </c>
    </row>
    <row r="42" spans="1:9">
      <c r="A42" t="s">
        <v>49</v>
      </c>
      <c r="B42" t="s">
        <v>10</v>
      </c>
      <c r="C42" t="s">
        <v>11</v>
      </c>
      <c r="D42" t="s">
        <v>12</v>
      </c>
      <c r="E42" t="s">
        <v>13</v>
      </c>
      <c r="F42">
        <v>360</v>
      </c>
      <c r="G42" t="s">
        <v>14</v>
      </c>
      <c r="H42" t="s">
        <v>15</v>
      </c>
      <c r="I42" t="s">
        <v>16</v>
      </c>
    </row>
    <row r="43" spans="1:9">
      <c r="A43" t="s">
        <v>49</v>
      </c>
      <c r="B43" t="s">
        <v>17</v>
      </c>
      <c r="C43" t="s">
        <v>18</v>
      </c>
      <c r="D43" t="s">
        <v>12</v>
      </c>
      <c r="E43" t="s">
        <v>19</v>
      </c>
      <c r="F43">
        <v>222</v>
      </c>
      <c r="G43" t="s">
        <v>14</v>
      </c>
      <c r="H43" t="s">
        <v>15</v>
      </c>
      <c r="I43" t="s">
        <v>16</v>
      </c>
    </row>
    <row r="44" spans="1:9">
      <c r="A44" t="s">
        <v>49</v>
      </c>
      <c r="B44" t="s">
        <v>20</v>
      </c>
      <c r="C44" t="s">
        <v>21</v>
      </c>
      <c r="D44" t="s">
        <v>12</v>
      </c>
      <c r="E44" t="s">
        <v>22</v>
      </c>
      <c r="F44">
        <v>145</v>
      </c>
      <c r="G44" t="s">
        <v>14</v>
      </c>
      <c r="H44" t="s">
        <v>15</v>
      </c>
      <c r="I44" t="s">
        <v>16</v>
      </c>
    </row>
    <row r="45" spans="1:9">
      <c r="A45" t="s">
        <v>49</v>
      </c>
      <c r="B45" t="s">
        <v>23</v>
      </c>
      <c r="C45" t="s">
        <v>24</v>
      </c>
      <c r="D45" t="s">
        <v>25</v>
      </c>
      <c r="E45" t="s">
        <v>26</v>
      </c>
      <c r="F45">
        <v>260</v>
      </c>
      <c r="G45" t="s">
        <v>14</v>
      </c>
      <c r="H45" t="s">
        <v>15</v>
      </c>
      <c r="I45" t="s">
        <v>48</v>
      </c>
    </row>
    <row r="46" spans="1:9">
      <c r="A46" t="s">
        <v>49</v>
      </c>
      <c r="B46" t="s">
        <v>23</v>
      </c>
      <c r="C46" t="s">
        <v>28</v>
      </c>
      <c r="D46" t="s">
        <v>25</v>
      </c>
      <c r="E46" t="s">
        <v>29</v>
      </c>
      <c r="F46">
        <v>48</v>
      </c>
      <c r="G46" t="s">
        <v>14</v>
      </c>
      <c r="H46" t="s">
        <v>15</v>
      </c>
      <c r="I46" t="s">
        <v>48</v>
      </c>
    </row>
    <row r="47" spans="1:9">
      <c r="A47" t="s">
        <v>49</v>
      </c>
      <c r="B47" t="s">
        <v>23</v>
      </c>
      <c r="C47" t="s">
        <v>31</v>
      </c>
      <c r="D47" t="s">
        <v>25</v>
      </c>
      <c r="E47" t="s">
        <v>32</v>
      </c>
      <c r="F47">
        <v>30</v>
      </c>
      <c r="G47" t="s">
        <v>14</v>
      </c>
      <c r="H47" t="s">
        <v>15</v>
      </c>
      <c r="I47" t="s">
        <v>48</v>
      </c>
    </row>
    <row r="48" spans="1:9">
      <c r="A48" t="s">
        <v>49</v>
      </c>
      <c r="B48" t="s">
        <v>23</v>
      </c>
      <c r="C48" t="s">
        <v>34</v>
      </c>
      <c r="D48" t="s">
        <v>25</v>
      </c>
      <c r="E48" t="s">
        <v>35</v>
      </c>
      <c r="F48">
        <v>23</v>
      </c>
      <c r="G48" t="s">
        <v>14</v>
      </c>
      <c r="H48" t="s">
        <v>15</v>
      </c>
      <c r="I48" t="s">
        <v>48</v>
      </c>
    </row>
    <row r="49" spans="1:9">
      <c r="A49" t="s">
        <v>49</v>
      </c>
      <c r="B49" t="s">
        <v>23</v>
      </c>
      <c r="C49" t="s">
        <v>15</v>
      </c>
      <c r="D49" t="s">
        <v>25</v>
      </c>
      <c r="E49" t="s">
        <v>37</v>
      </c>
      <c r="F49">
        <v>23</v>
      </c>
      <c r="G49" t="s">
        <v>14</v>
      </c>
      <c r="H49" t="s">
        <v>15</v>
      </c>
      <c r="I49" t="s">
        <v>48</v>
      </c>
    </row>
    <row r="50" spans="1:9">
      <c r="A50" t="s">
        <v>49</v>
      </c>
      <c r="B50" t="s">
        <v>23</v>
      </c>
      <c r="C50" t="s">
        <v>15</v>
      </c>
      <c r="D50" t="s">
        <v>39</v>
      </c>
      <c r="E50" t="s">
        <v>40</v>
      </c>
      <c r="F50">
        <v>17</v>
      </c>
      <c r="G50" t="s">
        <v>14</v>
      </c>
      <c r="H50" t="s">
        <v>15</v>
      </c>
      <c r="I50" t="s">
        <v>48</v>
      </c>
    </row>
    <row r="51" spans="1:9">
      <c r="A51" t="s">
        <v>49</v>
      </c>
      <c r="B51" t="s">
        <v>23</v>
      </c>
      <c r="C51" t="s">
        <v>42</v>
      </c>
      <c r="D51" t="s">
        <v>39</v>
      </c>
      <c r="E51" t="s">
        <v>43</v>
      </c>
      <c r="F51">
        <v>9</v>
      </c>
      <c r="G51" t="s">
        <v>14</v>
      </c>
      <c r="H51" t="s">
        <v>15</v>
      </c>
      <c r="I51" t="s">
        <v>48</v>
      </c>
    </row>
    <row r="52" spans="1:9">
      <c r="A52" t="s">
        <v>50</v>
      </c>
      <c r="B52" t="s">
        <v>10</v>
      </c>
      <c r="C52" t="s">
        <v>11</v>
      </c>
      <c r="D52" t="s">
        <v>12</v>
      </c>
      <c r="E52" t="s">
        <v>13</v>
      </c>
      <c r="F52">
        <v>370</v>
      </c>
      <c r="G52" t="s">
        <v>14</v>
      </c>
      <c r="H52" t="s">
        <v>15</v>
      </c>
      <c r="I52" t="s">
        <v>16</v>
      </c>
    </row>
    <row r="53" spans="1:9">
      <c r="A53" t="s">
        <v>50</v>
      </c>
      <c r="B53" t="s">
        <v>17</v>
      </c>
      <c r="C53" t="s">
        <v>18</v>
      </c>
      <c r="D53" t="s">
        <v>12</v>
      </c>
      <c r="E53" t="s">
        <v>19</v>
      </c>
      <c r="F53">
        <v>228</v>
      </c>
      <c r="G53" t="s">
        <v>14</v>
      </c>
      <c r="H53" t="s">
        <v>15</v>
      </c>
      <c r="I53" t="s">
        <v>16</v>
      </c>
    </row>
    <row r="54" spans="1:9">
      <c r="A54" t="s">
        <v>50</v>
      </c>
      <c r="B54" t="s">
        <v>20</v>
      </c>
      <c r="C54" t="s">
        <v>21</v>
      </c>
      <c r="D54" t="s">
        <v>12</v>
      </c>
      <c r="E54" t="s">
        <v>22</v>
      </c>
      <c r="F54">
        <v>150</v>
      </c>
      <c r="G54" t="s">
        <v>14</v>
      </c>
      <c r="H54" t="s">
        <v>15</v>
      </c>
      <c r="I54" t="s">
        <v>16</v>
      </c>
    </row>
    <row r="55" spans="1:9">
      <c r="A55" t="s">
        <v>50</v>
      </c>
      <c r="B55" t="s">
        <v>23</v>
      </c>
      <c r="C55" t="s">
        <v>24</v>
      </c>
      <c r="D55" t="s">
        <v>25</v>
      </c>
      <c r="E55" t="s">
        <v>26</v>
      </c>
      <c r="F55">
        <v>262</v>
      </c>
      <c r="G55" t="s">
        <v>14</v>
      </c>
      <c r="H55" t="s">
        <v>15</v>
      </c>
      <c r="I55" t="s">
        <v>48</v>
      </c>
    </row>
    <row r="56" spans="1:9">
      <c r="A56" t="s">
        <v>50</v>
      </c>
      <c r="B56" t="s">
        <v>23</v>
      </c>
      <c r="C56" t="s">
        <v>28</v>
      </c>
      <c r="D56" t="s">
        <v>25</v>
      </c>
      <c r="E56" t="s">
        <v>29</v>
      </c>
      <c r="F56">
        <v>49</v>
      </c>
      <c r="G56" t="s">
        <v>14</v>
      </c>
      <c r="H56" t="s">
        <v>15</v>
      </c>
      <c r="I56" t="s">
        <v>48</v>
      </c>
    </row>
    <row r="57" spans="1:9">
      <c r="A57" t="s">
        <v>50</v>
      </c>
      <c r="B57" t="s">
        <v>23</v>
      </c>
      <c r="C57" t="s">
        <v>31</v>
      </c>
      <c r="D57" t="s">
        <v>25</v>
      </c>
      <c r="E57" t="s">
        <v>32</v>
      </c>
      <c r="F57">
        <v>31</v>
      </c>
      <c r="G57" t="s">
        <v>14</v>
      </c>
      <c r="H57" t="s">
        <v>15</v>
      </c>
      <c r="I57" t="s">
        <v>48</v>
      </c>
    </row>
    <row r="58" spans="1:9">
      <c r="A58" t="s">
        <v>50</v>
      </c>
      <c r="B58" t="s">
        <v>23</v>
      </c>
      <c r="C58" t="s">
        <v>34</v>
      </c>
      <c r="D58" t="s">
        <v>25</v>
      </c>
      <c r="E58" t="s">
        <v>35</v>
      </c>
      <c r="F58">
        <v>24</v>
      </c>
      <c r="G58" t="s">
        <v>14</v>
      </c>
      <c r="H58" t="s">
        <v>15</v>
      </c>
      <c r="I58" t="s">
        <v>48</v>
      </c>
    </row>
    <row r="59" spans="1:9">
      <c r="A59" t="s">
        <v>50</v>
      </c>
      <c r="B59" t="s">
        <v>23</v>
      </c>
      <c r="C59" t="s">
        <v>15</v>
      </c>
      <c r="D59" t="s">
        <v>25</v>
      </c>
      <c r="E59" t="s">
        <v>37</v>
      </c>
      <c r="F59">
        <v>22</v>
      </c>
      <c r="G59" t="s">
        <v>14</v>
      </c>
      <c r="H59" t="s">
        <v>15</v>
      </c>
      <c r="I59" t="s">
        <v>48</v>
      </c>
    </row>
    <row r="60" spans="1:9">
      <c r="A60" t="s">
        <v>50</v>
      </c>
      <c r="B60" t="s">
        <v>23</v>
      </c>
      <c r="C60" t="s">
        <v>15</v>
      </c>
      <c r="D60" t="s">
        <v>39</v>
      </c>
      <c r="E60" t="s">
        <v>40</v>
      </c>
      <c r="F60">
        <v>17</v>
      </c>
      <c r="G60" t="s">
        <v>14</v>
      </c>
      <c r="H60" t="s">
        <v>15</v>
      </c>
      <c r="I60" t="s">
        <v>48</v>
      </c>
    </row>
    <row r="61" spans="1:9">
      <c r="A61" t="s">
        <v>50</v>
      </c>
      <c r="B61" t="s">
        <v>23</v>
      </c>
      <c r="C61" t="s">
        <v>42</v>
      </c>
      <c r="D61" t="s">
        <v>39</v>
      </c>
      <c r="E61" t="s">
        <v>43</v>
      </c>
      <c r="F61">
        <v>9</v>
      </c>
      <c r="G61" t="s">
        <v>14</v>
      </c>
      <c r="H61" t="s">
        <v>15</v>
      </c>
      <c r="I61" t="s">
        <v>48</v>
      </c>
    </row>
    <row r="62" spans="1:9">
      <c r="A62" t="s">
        <v>51</v>
      </c>
      <c r="B62" t="s">
        <v>10</v>
      </c>
      <c r="C62" t="s">
        <v>11</v>
      </c>
      <c r="D62" t="s">
        <v>12</v>
      </c>
      <c r="E62" t="s">
        <v>13</v>
      </c>
      <c r="F62">
        <v>380</v>
      </c>
      <c r="G62" t="s">
        <v>14</v>
      </c>
      <c r="H62" t="s">
        <v>15</v>
      </c>
      <c r="I62" t="s">
        <v>16</v>
      </c>
    </row>
    <row r="63" spans="1:9">
      <c r="A63" t="s">
        <v>51</v>
      </c>
      <c r="B63" t="s">
        <v>17</v>
      </c>
      <c r="C63" t="s">
        <v>18</v>
      </c>
      <c r="D63" t="s">
        <v>12</v>
      </c>
      <c r="E63" t="s">
        <v>19</v>
      </c>
      <c r="F63">
        <v>232</v>
      </c>
      <c r="G63" t="s">
        <v>14</v>
      </c>
      <c r="H63" t="s">
        <v>15</v>
      </c>
      <c r="I63" t="s">
        <v>16</v>
      </c>
    </row>
    <row r="64" spans="1:9">
      <c r="A64" t="s">
        <v>51</v>
      </c>
      <c r="B64" t="s">
        <v>20</v>
      </c>
      <c r="C64" t="s">
        <v>21</v>
      </c>
      <c r="D64" t="s">
        <v>12</v>
      </c>
      <c r="E64" t="s">
        <v>22</v>
      </c>
      <c r="F64">
        <v>155</v>
      </c>
      <c r="G64" t="s">
        <v>14</v>
      </c>
      <c r="H64" t="s">
        <v>15</v>
      </c>
      <c r="I64" t="s">
        <v>16</v>
      </c>
    </row>
    <row r="65" spans="1:9">
      <c r="A65" t="s">
        <v>51</v>
      </c>
      <c r="B65" t="s">
        <v>23</v>
      </c>
      <c r="C65" t="s">
        <v>24</v>
      </c>
      <c r="D65" t="s">
        <v>25</v>
      </c>
      <c r="E65" t="s">
        <v>26</v>
      </c>
      <c r="F65">
        <v>265</v>
      </c>
      <c r="G65" t="s">
        <v>14</v>
      </c>
      <c r="H65" t="s">
        <v>15</v>
      </c>
      <c r="I65" t="s">
        <v>48</v>
      </c>
    </row>
    <row r="66" spans="1:9">
      <c r="A66" t="s">
        <v>51</v>
      </c>
      <c r="B66" t="s">
        <v>23</v>
      </c>
      <c r="C66" t="s">
        <v>28</v>
      </c>
      <c r="D66" t="s">
        <v>25</v>
      </c>
      <c r="E66" t="s">
        <v>29</v>
      </c>
      <c r="F66">
        <v>49</v>
      </c>
      <c r="G66" t="s">
        <v>14</v>
      </c>
      <c r="H66" t="s">
        <v>15</v>
      </c>
      <c r="I66" t="s">
        <v>48</v>
      </c>
    </row>
    <row r="67" spans="1:9">
      <c r="A67" t="s">
        <v>51</v>
      </c>
      <c r="B67" t="s">
        <v>23</v>
      </c>
      <c r="C67" t="s">
        <v>31</v>
      </c>
      <c r="D67" t="s">
        <v>25</v>
      </c>
      <c r="E67" t="s">
        <v>32</v>
      </c>
      <c r="F67">
        <v>31</v>
      </c>
      <c r="G67" t="s">
        <v>14</v>
      </c>
      <c r="H67" t="s">
        <v>15</v>
      </c>
      <c r="I67" t="s">
        <v>48</v>
      </c>
    </row>
    <row r="68" spans="1:9">
      <c r="A68" t="s">
        <v>51</v>
      </c>
      <c r="B68" t="s">
        <v>23</v>
      </c>
      <c r="C68" t="s">
        <v>34</v>
      </c>
      <c r="D68" t="s">
        <v>25</v>
      </c>
      <c r="E68" t="s">
        <v>35</v>
      </c>
      <c r="F68">
        <v>23</v>
      </c>
      <c r="G68" t="s">
        <v>14</v>
      </c>
      <c r="H68" t="s">
        <v>15</v>
      </c>
      <c r="I68" t="s">
        <v>48</v>
      </c>
    </row>
    <row r="69" spans="1:9">
      <c r="A69" t="s">
        <v>51</v>
      </c>
      <c r="B69" t="s">
        <v>23</v>
      </c>
      <c r="C69" t="s">
        <v>15</v>
      </c>
      <c r="D69" t="s">
        <v>25</v>
      </c>
      <c r="E69" t="s">
        <v>37</v>
      </c>
      <c r="F69">
        <v>24</v>
      </c>
      <c r="G69" t="s">
        <v>14</v>
      </c>
      <c r="H69" t="s">
        <v>15</v>
      </c>
      <c r="I69" t="s">
        <v>48</v>
      </c>
    </row>
    <row r="70" spans="1:9">
      <c r="A70" t="s">
        <v>51</v>
      </c>
      <c r="B70" t="s">
        <v>23</v>
      </c>
      <c r="C70" t="s">
        <v>15</v>
      </c>
      <c r="D70" t="s">
        <v>39</v>
      </c>
      <c r="E70" t="s">
        <v>40</v>
      </c>
      <c r="F70">
        <v>17</v>
      </c>
      <c r="G70" t="s">
        <v>14</v>
      </c>
      <c r="H70" t="s">
        <v>15</v>
      </c>
      <c r="I70" t="s">
        <v>48</v>
      </c>
    </row>
    <row r="71" spans="1:9">
      <c r="A71" t="s">
        <v>51</v>
      </c>
      <c r="B71" t="s">
        <v>23</v>
      </c>
      <c r="C71" t="s">
        <v>42</v>
      </c>
      <c r="D71" t="s">
        <v>39</v>
      </c>
      <c r="E71" t="s">
        <v>43</v>
      </c>
      <c r="F71">
        <v>9</v>
      </c>
      <c r="G71" t="s">
        <v>14</v>
      </c>
      <c r="H71" t="s">
        <v>15</v>
      </c>
      <c r="I71" t="s">
        <v>48</v>
      </c>
    </row>
    <row r="72" spans="1:9">
      <c r="A72" t="s">
        <v>52</v>
      </c>
      <c r="B72" t="s">
        <v>10</v>
      </c>
      <c r="C72" t="s">
        <v>11</v>
      </c>
      <c r="D72" t="s">
        <v>12</v>
      </c>
      <c r="E72" t="s">
        <v>13</v>
      </c>
      <c r="F72">
        <v>390</v>
      </c>
      <c r="G72" t="s">
        <v>14</v>
      </c>
      <c r="H72" t="s">
        <v>15</v>
      </c>
      <c r="I72" t="s">
        <v>16</v>
      </c>
    </row>
    <row r="73" spans="1:9">
      <c r="A73" t="s">
        <v>52</v>
      </c>
      <c r="B73" t="s">
        <v>17</v>
      </c>
      <c r="C73" t="s">
        <v>18</v>
      </c>
      <c r="D73" t="s">
        <v>12</v>
      </c>
      <c r="E73" t="s">
        <v>19</v>
      </c>
      <c r="F73">
        <v>238</v>
      </c>
      <c r="G73" t="s">
        <v>14</v>
      </c>
      <c r="H73" t="s">
        <v>15</v>
      </c>
      <c r="I73" t="s">
        <v>16</v>
      </c>
    </row>
    <row r="74" spans="1:9">
      <c r="A74" t="s">
        <v>52</v>
      </c>
      <c r="B74" t="s">
        <v>20</v>
      </c>
      <c r="C74" t="s">
        <v>21</v>
      </c>
      <c r="D74" t="s">
        <v>12</v>
      </c>
      <c r="E74" t="s">
        <v>22</v>
      </c>
      <c r="F74">
        <v>160</v>
      </c>
      <c r="G74" t="s">
        <v>14</v>
      </c>
      <c r="H74" t="s">
        <v>15</v>
      </c>
      <c r="I74" t="s">
        <v>16</v>
      </c>
    </row>
    <row r="75" spans="1:9">
      <c r="A75" t="s">
        <v>52</v>
      </c>
      <c r="B75" t="s">
        <v>23</v>
      </c>
      <c r="C75" t="s">
        <v>24</v>
      </c>
      <c r="D75" t="s">
        <v>25</v>
      </c>
      <c r="E75" t="s">
        <v>26</v>
      </c>
      <c r="F75">
        <v>268</v>
      </c>
      <c r="G75" t="s">
        <v>14</v>
      </c>
      <c r="H75" t="s">
        <v>15</v>
      </c>
      <c r="I75" t="s">
        <v>48</v>
      </c>
    </row>
    <row r="76" spans="1:9">
      <c r="A76" t="s">
        <v>52</v>
      </c>
      <c r="B76" t="s">
        <v>23</v>
      </c>
      <c r="C76" t="s">
        <v>28</v>
      </c>
      <c r="D76" t="s">
        <v>25</v>
      </c>
      <c r="E76" t="s">
        <v>29</v>
      </c>
      <c r="F76">
        <v>49</v>
      </c>
      <c r="G76" t="s">
        <v>14</v>
      </c>
      <c r="H76" t="s">
        <v>15</v>
      </c>
      <c r="I76" t="s">
        <v>48</v>
      </c>
    </row>
    <row r="77" spans="1:9">
      <c r="A77" t="s">
        <v>52</v>
      </c>
      <c r="B77" t="s">
        <v>23</v>
      </c>
      <c r="C77" t="s">
        <v>31</v>
      </c>
      <c r="D77" t="s">
        <v>25</v>
      </c>
      <c r="E77" t="s">
        <v>32</v>
      </c>
      <c r="F77">
        <v>32</v>
      </c>
      <c r="G77" t="s">
        <v>14</v>
      </c>
      <c r="H77" t="s">
        <v>15</v>
      </c>
      <c r="I77" t="s">
        <v>48</v>
      </c>
    </row>
    <row r="78" spans="1:9">
      <c r="A78" t="s">
        <v>52</v>
      </c>
      <c r="B78" t="s">
        <v>23</v>
      </c>
      <c r="C78" t="s">
        <v>34</v>
      </c>
      <c r="D78" t="s">
        <v>25</v>
      </c>
      <c r="E78" t="s">
        <v>35</v>
      </c>
      <c r="F78">
        <v>25</v>
      </c>
      <c r="G78" t="s">
        <v>14</v>
      </c>
      <c r="H78" t="s">
        <v>15</v>
      </c>
      <c r="I78" t="s">
        <v>48</v>
      </c>
    </row>
    <row r="79" spans="1:9">
      <c r="A79" t="s">
        <v>52</v>
      </c>
      <c r="B79" t="s">
        <v>23</v>
      </c>
      <c r="C79" t="s">
        <v>15</v>
      </c>
      <c r="D79" t="s">
        <v>25</v>
      </c>
      <c r="E79" t="s">
        <v>37</v>
      </c>
      <c r="F79">
        <v>23</v>
      </c>
      <c r="G79" t="s">
        <v>14</v>
      </c>
      <c r="H79" t="s">
        <v>15</v>
      </c>
      <c r="I79" t="s">
        <v>48</v>
      </c>
    </row>
    <row r="80" spans="1:9">
      <c r="A80" t="s">
        <v>52</v>
      </c>
      <c r="B80" t="s">
        <v>23</v>
      </c>
      <c r="C80" t="s">
        <v>15</v>
      </c>
      <c r="D80" t="s">
        <v>39</v>
      </c>
      <c r="E80" t="s">
        <v>40</v>
      </c>
      <c r="F80">
        <v>17</v>
      </c>
      <c r="G80" t="s">
        <v>14</v>
      </c>
      <c r="H80" t="s">
        <v>15</v>
      </c>
      <c r="I80" t="s">
        <v>48</v>
      </c>
    </row>
    <row r="81" spans="1:9">
      <c r="A81" t="s">
        <v>52</v>
      </c>
      <c r="B81" t="s">
        <v>23</v>
      </c>
      <c r="C81" t="s">
        <v>42</v>
      </c>
      <c r="D81" t="s">
        <v>39</v>
      </c>
      <c r="E81" t="s">
        <v>43</v>
      </c>
      <c r="F81">
        <v>9</v>
      </c>
      <c r="G81" t="s">
        <v>14</v>
      </c>
      <c r="H81" t="s">
        <v>15</v>
      </c>
      <c r="I81" t="s">
        <v>48</v>
      </c>
    </row>
    <row r="82" spans="1:9">
      <c r="A82" t="s">
        <v>53</v>
      </c>
      <c r="B82" t="s">
        <v>10</v>
      </c>
      <c r="C82" t="s">
        <v>11</v>
      </c>
      <c r="D82" t="s">
        <v>12</v>
      </c>
      <c r="E82" t="s">
        <v>13</v>
      </c>
      <c r="F82">
        <v>400</v>
      </c>
      <c r="G82" t="s">
        <v>14</v>
      </c>
      <c r="H82" t="s">
        <v>15</v>
      </c>
      <c r="I82" t="s">
        <v>16</v>
      </c>
    </row>
    <row r="83" spans="1:9">
      <c r="A83" t="s">
        <v>53</v>
      </c>
      <c r="B83" t="s">
        <v>17</v>
      </c>
      <c r="C83" t="s">
        <v>18</v>
      </c>
      <c r="D83" t="s">
        <v>12</v>
      </c>
      <c r="E83" t="s">
        <v>19</v>
      </c>
      <c r="F83">
        <v>245</v>
      </c>
      <c r="G83" t="s">
        <v>14</v>
      </c>
      <c r="H83" t="s">
        <v>15</v>
      </c>
      <c r="I83" t="s">
        <v>16</v>
      </c>
    </row>
    <row r="84" spans="1:9">
      <c r="A84" t="s">
        <v>53</v>
      </c>
      <c r="B84" t="s">
        <v>20</v>
      </c>
      <c r="C84" t="s">
        <v>21</v>
      </c>
      <c r="D84" t="s">
        <v>12</v>
      </c>
      <c r="E84" t="s">
        <v>22</v>
      </c>
      <c r="F84">
        <v>165</v>
      </c>
      <c r="G84" t="s">
        <v>14</v>
      </c>
      <c r="H84" t="s">
        <v>15</v>
      </c>
      <c r="I84" t="s">
        <v>16</v>
      </c>
    </row>
    <row r="85" spans="1:9">
      <c r="A85" t="s">
        <v>53</v>
      </c>
      <c r="B85" t="s">
        <v>23</v>
      </c>
      <c r="C85" t="s">
        <v>24</v>
      </c>
      <c r="D85" t="s">
        <v>25</v>
      </c>
      <c r="E85" t="s">
        <v>26</v>
      </c>
      <c r="F85">
        <v>270</v>
      </c>
      <c r="G85" t="s">
        <v>14</v>
      </c>
      <c r="H85" t="s">
        <v>15</v>
      </c>
      <c r="I85" t="s">
        <v>48</v>
      </c>
    </row>
    <row r="86" spans="1:9">
      <c r="A86" t="s">
        <v>53</v>
      </c>
      <c r="B86" t="s">
        <v>23</v>
      </c>
      <c r="C86" t="s">
        <v>28</v>
      </c>
      <c r="D86" t="s">
        <v>25</v>
      </c>
      <c r="E86" t="s">
        <v>29</v>
      </c>
      <c r="F86">
        <v>50</v>
      </c>
      <c r="G86" t="s">
        <v>14</v>
      </c>
      <c r="H86" t="s">
        <v>15</v>
      </c>
      <c r="I86" t="s">
        <v>48</v>
      </c>
    </row>
    <row r="87" spans="1:9">
      <c r="A87" t="s">
        <v>53</v>
      </c>
      <c r="B87" t="s">
        <v>23</v>
      </c>
      <c r="C87" t="s">
        <v>31</v>
      </c>
      <c r="D87" t="s">
        <v>25</v>
      </c>
      <c r="E87" t="s">
        <v>32</v>
      </c>
      <c r="F87">
        <v>32</v>
      </c>
      <c r="G87" t="s">
        <v>14</v>
      </c>
      <c r="H87" t="s">
        <v>15</v>
      </c>
      <c r="I87" t="s">
        <v>48</v>
      </c>
    </row>
    <row r="88" spans="1:9">
      <c r="A88" t="s">
        <v>53</v>
      </c>
      <c r="B88" t="s">
        <v>23</v>
      </c>
      <c r="C88" t="s">
        <v>34</v>
      </c>
      <c r="D88" t="s">
        <v>25</v>
      </c>
      <c r="E88" t="s">
        <v>35</v>
      </c>
      <c r="F88">
        <v>26</v>
      </c>
      <c r="G88" t="s">
        <v>14</v>
      </c>
      <c r="H88" t="s">
        <v>15</v>
      </c>
      <c r="I88" t="s">
        <v>48</v>
      </c>
    </row>
    <row r="89" spans="1:9">
      <c r="A89" t="s">
        <v>53</v>
      </c>
      <c r="B89" t="s">
        <v>23</v>
      </c>
      <c r="C89" t="s">
        <v>15</v>
      </c>
      <c r="D89" t="s">
        <v>25</v>
      </c>
      <c r="E89" t="s">
        <v>37</v>
      </c>
      <c r="F89">
        <v>24</v>
      </c>
      <c r="G89" t="s">
        <v>14</v>
      </c>
      <c r="H89" t="s">
        <v>15</v>
      </c>
      <c r="I89" t="s">
        <v>48</v>
      </c>
    </row>
    <row r="90" spans="1:9">
      <c r="A90" t="s">
        <v>53</v>
      </c>
      <c r="B90" t="s">
        <v>23</v>
      </c>
      <c r="C90" t="s">
        <v>15</v>
      </c>
      <c r="D90" t="s">
        <v>39</v>
      </c>
      <c r="E90" t="s">
        <v>40</v>
      </c>
      <c r="F90">
        <v>17</v>
      </c>
      <c r="G90" t="s">
        <v>14</v>
      </c>
      <c r="H90" t="s">
        <v>15</v>
      </c>
      <c r="I90" t="s">
        <v>48</v>
      </c>
    </row>
    <row r="91" spans="1:9">
      <c r="A91" t="s">
        <v>53</v>
      </c>
      <c r="B91" t="s">
        <v>23</v>
      </c>
      <c r="C91" t="s">
        <v>42</v>
      </c>
      <c r="D91" t="s">
        <v>39</v>
      </c>
      <c r="E91" t="s">
        <v>43</v>
      </c>
      <c r="F91">
        <v>9</v>
      </c>
      <c r="G91" t="s">
        <v>14</v>
      </c>
      <c r="H91" t="s">
        <v>15</v>
      </c>
      <c r="I91" t="s">
        <v>48</v>
      </c>
    </row>
    <row r="92" spans="1:9">
      <c r="A92" t="s">
        <v>54</v>
      </c>
      <c r="B92" t="s">
        <v>10</v>
      </c>
      <c r="C92" t="s">
        <v>11</v>
      </c>
      <c r="D92" t="s">
        <v>12</v>
      </c>
      <c r="E92" t="s">
        <v>13</v>
      </c>
      <c r="F92">
        <v>410</v>
      </c>
      <c r="G92" t="s">
        <v>14</v>
      </c>
      <c r="H92" t="s">
        <v>15</v>
      </c>
      <c r="I92" t="s">
        <v>16</v>
      </c>
    </row>
    <row r="93" spans="1:9">
      <c r="A93" t="s">
        <v>54</v>
      </c>
      <c r="B93" t="s">
        <v>17</v>
      </c>
      <c r="C93" t="s">
        <v>18</v>
      </c>
      <c r="D93" t="s">
        <v>12</v>
      </c>
      <c r="E93" t="s">
        <v>19</v>
      </c>
      <c r="F93">
        <v>250</v>
      </c>
      <c r="G93" t="s">
        <v>14</v>
      </c>
      <c r="H93" t="s">
        <v>15</v>
      </c>
      <c r="I93" t="s">
        <v>16</v>
      </c>
    </row>
    <row r="94" spans="1:9">
      <c r="A94" t="s">
        <v>54</v>
      </c>
      <c r="B94" t="s">
        <v>20</v>
      </c>
      <c r="C94" t="s">
        <v>21</v>
      </c>
      <c r="D94" t="s">
        <v>12</v>
      </c>
      <c r="E94" t="s">
        <v>22</v>
      </c>
      <c r="F94">
        <v>170</v>
      </c>
      <c r="G94" t="s">
        <v>14</v>
      </c>
      <c r="H94" t="s">
        <v>15</v>
      </c>
      <c r="I94" t="s">
        <v>16</v>
      </c>
    </row>
    <row r="95" spans="1:9">
      <c r="A95" t="s">
        <v>54</v>
      </c>
      <c r="B95" t="s">
        <v>23</v>
      </c>
      <c r="C95" t="s">
        <v>24</v>
      </c>
      <c r="D95" t="s">
        <v>25</v>
      </c>
      <c r="E95" t="s">
        <v>26</v>
      </c>
      <c r="F95">
        <v>273</v>
      </c>
      <c r="G95" t="s">
        <v>14</v>
      </c>
      <c r="H95" t="s">
        <v>15</v>
      </c>
      <c r="I95" t="s">
        <v>48</v>
      </c>
    </row>
    <row r="96" spans="1:9">
      <c r="A96" t="s">
        <v>54</v>
      </c>
      <c r="B96" t="s">
        <v>23</v>
      </c>
      <c r="C96" t="s">
        <v>28</v>
      </c>
      <c r="D96" t="s">
        <v>25</v>
      </c>
      <c r="E96" t="s">
        <v>29</v>
      </c>
      <c r="F96">
        <v>50</v>
      </c>
      <c r="G96" t="s">
        <v>14</v>
      </c>
      <c r="H96" t="s">
        <v>15</v>
      </c>
      <c r="I96" t="s">
        <v>48</v>
      </c>
    </row>
    <row r="97" spans="1:9">
      <c r="A97" t="s">
        <v>54</v>
      </c>
      <c r="B97" t="s">
        <v>23</v>
      </c>
      <c r="C97" t="s">
        <v>31</v>
      </c>
      <c r="D97" t="s">
        <v>25</v>
      </c>
      <c r="E97" t="s">
        <v>32</v>
      </c>
      <c r="F97">
        <v>33</v>
      </c>
      <c r="G97" t="s">
        <v>14</v>
      </c>
      <c r="H97" t="s">
        <v>15</v>
      </c>
      <c r="I97" t="s">
        <v>48</v>
      </c>
    </row>
    <row r="98" spans="1:9">
      <c r="A98" t="s">
        <v>54</v>
      </c>
      <c r="B98" t="s">
        <v>23</v>
      </c>
      <c r="C98" t="s">
        <v>34</v>
      </c>
      <c r="D98" t="s">
        <v>25</v>
      </c>
      <c r="E98" t="s">
        <v>35</v>
      </c>
      <c r="F98">
        <v>25</v>
      </c>
      <c r="G98" t="s">
        <v>14</v>
      </c>
      <c r="H98" t="s">
        <v>15</v>
      </c>
      <c r="I98" t="s">
        <v>48</v>
      </c>
    </row>
    <row r="99" spans="1:9">
      <c r="A99" t="s">
        <v>54</v>
      </c>
      <c r="B99" t="s">
        <v>23</v>
      </c>
      <c r="C99" t="s">
        <v>15</v>
      </c>
      <c r="D99" t="s">
        <v>25</v>
      </c>
      <c r="E99" t="s">
        <v>37</v>
      </c>
      <c r="F99">
        <v>25</v>
      </c>
      <c r="G99" t="s">
        <v>14</v>
      </c>
      <c r="H99" t="s">
        <v>15</v>
      </c>
      <c r="I99" t="s">
        <v>48</v>
      </c>
    </row>
    <row r="100" spans="1:9">
      <c r="A100" t="s">
        <v>54</v>
      </c>
      <c r="B100" t="s">
        <v>23</v>
      </c>
      <c r="C100" t="s">
        <v>15</v>
      </c>
      <c r="D100" t="s">
        <v>39</v>
      </c>
      <c r="E100" t="s">
        <v>40</v>
      </c>
      <c r="F100">
        <v>17</v>
      </c>
      <c r="G100" t="s">
        <v>14</v>
      </c>
      <c r="H100" t="s">
        <v>15</v>
      </c>
      <c r="I100" t="s">
        <v>48</v>
      </c>
    </row>
    <row r="101" spans="1:9">
      <c r="A101" t="s">
        <v>54</v>
      </c>
      <c r="B101" t="s">
        <v>23</v>
      </c>
      <c r="C101" t="s">
        <v>42</v>
      </c>
      <c r="D101" t="s">
        <v>39</v>
      </c>
      <c r="E101" t="s">
        <v>43</v>
      </c>
      <c r="F101">
        <v>9</v>
      </c>
      <c r="G101" t="s">
        <v>14</v>
      </c>
      <c r="H101" t="s">
        <v>15</v>
      </c>
      <c r="I101" t="s">
        <v>48</v>
      </c>
    </row>
    <row r="102" spans="1:9">
      <c r="A102" t="s">
        <v>55</v>
      </c>
      <c r="B102" t="s">
        <v>10</v>
      </c>
      <c r="C102" t="s">
        <v>11</v>
      </c>
      <c r="D102" t="s">
        <v>12</v>
      </c>
      <c r="E102" t="s">
        <v>13</v>
      </c>
      <c r="F102">
        <v>420</v>
      </c>
      <c r="G102" t="s">
        <v>14</v>
      </c>
      <c r="H102" t="s">
        <v>15</v>
      </c>
      <c r="I102" t="s">
        <v>16</v>
      </c>
    </row>
    <row r="103" spans="1:9">
      <c r="A103" t="s">
        <v>55</v>
      </c>
      <c r="B103" t="s">
        <v>17</v>
      </c>
      <c r="C103" t="s">
        <v>18</v>
      </c>
      <c r="D103" t="s">
        <v>12</v>
      </c>
      <c r="E103" t="s">
        <v>19</v>
      </c>
      <c r="F103">
        <v>255</v>
      </c>
      <c r="G103" t="s">
        <v>14</v>
      </c>
      <c r="H103" t="s">
        <v>15</v>
      </c>
      <c r="I103" t="s">
        <v>16</v>
      </c>
    </row>
    <row r="104" spans="1:9">
      <c r="A104" t="s">
        <v>55</v>
      </c>
      <c r="B104" t="s">
        <v>20</v>
      </c>
      <c r="C104" t="s">
        <v>21</v>
      </c>
      <c r="D104" t="s">
        <v>12</v>
      </c>
      <c r="E104" t="s">
        <v>22</v>
      </c>
      <c r="F104">
        <v>175</v>
      </c>
      <c r="G104" t="s">
        <v>14</v>
      </c>
      <c r="H104" t="s">
        <v>15</v>
      </c>
      <c r="I104" t="s">
        <v>16</v>
      </c>
    </row>
    <row r="105" spans="1:9">
      <c r="A105" t="s">
        <v>55</v>
      </c>
      <c r="B105" t="s">
        <v>23</v>
      </c>
      <c r="C105" t="s">
        <v>24</v>
      </c>
      <c r="D105" t="s">
        <v>25</v>
      </c>
      <c r="E105" t="s">
        <v>26</v>
      </c>
      <c r="F105">
        <v>276</v>
      </c>
      <c r="G105" t="s">
        <v>14</v>
      </c>
      <c r="H105" t="s">
        <v>15</v>
      </c>
      <c r="I105" t="s">
        <v>48</v>
      </c>
    </row>
    <row r="106" spans="1:9">
      <c r="A106" t="s">
        <v>55</v>
      </c>
      <c r="B106" t="s">
        <v>23</v>
      </c>
      <c r="C106" t="s">
        <v>28</v>
      </c>
      <c r="D106" t="s">
        <v>25</v>
      </c>
      <c r="E106" t="s">
        <v>29</v>
      </c>
      <c r="F106">
        <v>50</v>
      </c>
      <c r="G106" t="s">
        <v>14</v>
      </c>
      <c r="H106" t="s">
        <v>15</v>
      </c>
      <c r="I106" t="s">
        <v>48</v>
      </c>
    </row>
    <row r="107" spans="1:9">
      <c r="A107" t="s">
        <v>55</v>
      </c>
      <c r="B107" t="s">
        <v>23</v>
      </c>
      <c r="C107" t="s">
        <v>31</v>
      </c>
      <c r="D107" t="s">
        <v>25</v>
      </c>
      <c r="E107" t="s">
        <v>32</v>
      </c>
      <c r="F107">
        <v>33</v>
      </c>
      <c r="G107" t="s">
        <v>14</v>
      </c>
      <c r="H107" t="s">
        <v>15</v>
      </c>
      <c r="I107" t="s">
        <v>48</v>
      </c>
    </row>
    <row r="108" spans="1:9">
      <c r="A108" t="s">
        <v>55</v>
      </c>
      <c r="B108" t="s">
        <v>23</v>
      </c>
      <c r="C108" t="s">
        <v>34</v>
      </c>
      <c r="D108" t="s">
        <v>25</v>
      </c>
      <c r="E108" t="s">
        <v>35</v>
      </c>
      <c r="F108">
        <v>27</v>
      </c>
      <c r="G108" t="s">
        <v>14</v>
      </c>
      <c r="H108" t="s">
        <v>15</v>
      </c>
      <c r="I108" t="s">
        <v>48</v>
      </c>
    </row>
    <row r="109" spans="1:9">
      <c r="A109" t="s">
        <v>55</v>
      </c>
      <c r="B109" t="s">
        <v>23</v>
      </c>
      <c r="C109" t="s">
        <v>15</v>
      </c>
      <c r="D109" t="s">
        <v>25</v>
      </c>
      <c r="E109" t="s">
        <v>37</v>
      </c>
      <c r="F109">
        <v>24</v>
      </c>
      <c r="G109" t="s">
        <v>14</v>
      </c>
      <c r="H109" t="s">
        <v>15</v>
      </c>
      <c r="I109" t="s">
        <v>48</v>
      </c>
    </row>
    <row r="110" spans="1:9">
      <c r="A110" t="s">
        <v>55</v>
      </c>
      <c r="B110" t="s">
        <v>23</v>
      </c>
      <c r="C110" t="s">
        <v>15</v>
      </c>
      <c r="D110" t="s">
        <v>39</v>
      </c>
      <c r="E110" t="s">
        <v>40</v>
      </c>
      <c r="F110">
        <v>17</v>
      </c>
      <c r="G110" t="s">
        <v>14</v>
      </c>
      <c r="H110" t="s">
        <v>15</v>
      </c>
      <c r="I110" t="s">
        <v>48</v>
      </c>
    </row>
    <row r="111" spans="1:9">
      <c r="A111" t="s">
        <v>55</v>
      </c>
      <c r="B111" t="s">
        <v>23</v>
      </c>
      <c r="C111" t="s">
        <v>42</v>
      </c>
      <c r="D111" t="s">
        <v>39</v>
      </c>
      <c r="E111" t="s">
        <v>43</v>
      </c>
      <c r="F111">
        <v>9</v>
      </c>
      <c r="G111" t="s">
        <v>14</v>
      </c>
      <c r="H111" t="s">
        <v>15</v>
      </c>
      <c r="I111" t="s">
        <v>48</v>
      </c>
    </row>
    <row r="112" spans="1:9">
      <c r="A112" t="s">
        <v>56</v>
      </c>
      <c r="B112" t="s">
        <v>10</v>
      </c>
      <c r="C112" t="s">
        <v>11</v>
      </c>
      <c r="D112" t="s">
        <v>12</v>
      </c>
      <c r="E112" t="s">
        <v>13</v>
      </c>
      <c r="F112">
        <v>440</v>
      </c>
      <c r="G112" t="s">
        <v>14</v>
      </c>
      <c r="H112" t="s">
        <v>15</v>
      </c>
      <c r="I112" t="s">
        <v>16</v>
      </c>
    </row>
    <row r="113" spans="1:9">
      <c r="A113" t="s">
        <v>56</v>
      </c>
      <c r="B113" t="s">
        <v>17</v>
      </c>
      <c r="C113" t="s">
        <v>18</v>
      </c>
      <c r="D113" t="s">
        <v>12</v>
      </c>
      <c r="E113" t="s">
        <v>19</v>
      </c>
      <c r="F113">
        <v>265</v>
      </c>
      <c r="G113" t="s">
        <v>14</v>
      </c>
      <c r="H113" t="s">
        <v>15</v>
      </c>
      <c r="I113" t="s">
        <v>16</v>
      </c>
    </row>
    <row r="114" spans="1:9">
      <c r="A114" t="s">
        <v>56</v>
      </c>
      <c r="B114" t="s">
        <v>20</v>
      </c>
      <c r="C114" t="s">
        <v>21</v>
      </c>
      <c r="D114" t="s">
        <v>12</v>
      </c>
      <c r="E114" t="s">
        <v>22</v>
      </c>
      <c r="F114">
        <v>185</v>
      </c>
      <c r="G114" t="s">
        <v>14</v>
      </c>
      <c r="H114" t="s">
        <v>15</v>
      </c>
      <c r="I114" t="s">
        <v>16</v>
      </c>
    </row>
    <row r="115" spans="1:9">
      <c r="A115" t="s">
        <v>56</v>
      </c>
      <c r="B115" t="s">
        <v>23</v>
      </c>
      <c r="C115" t="s">
        <v>24</v>
      </c>
      <c r="D115" t="s">
        <v>25</v>
      </c>
      <c r="E115" t="s">
        <v>26</v>
      </c>
      <c r="F115">
        <v>280</v>
      </c>
      <c r="G115" t="s">
        <v>14</v>
      </c>
      <c r="H115" t="s">
        <v>15</v>
      </c>
      <c r="I115" t="s">
        <v>48</v>
      </c>
    </row>
    <row r="116" spans="1:9">
      <c r="A116" t="s">
        <v>56</v>
      </c>
      <c r="B116" t="s">
        <v>23</v>
      </c>
      <c r="C116" t="s">
        <v>28</v>
      </c>
      <c r="D116" t="s">
        <v>25</v>
      </c>
      <c r="E116" t="s">
        <v>29</v>
      </c>
      <c r="F116">
        <v>51</v>
      </c>
      <c r="G116" t="s">
        <v>14</v>
      </c>
      <c r="H116" t="s">
        <v>15</v>
      </c>
      <c r="I116" t="s">
        <v>48</v>
      </c>
    </row>
    <row r="117" spans="1:9">
      <c r="A117" t="s">
        <v>56</v>
      </c>
      <c r="B117" t="s">
        <v>23</v>
      </c>
      <c r="C117" t="s">
        <v>31</v>
      </c>
      <c r="D117" t="s">
        <v>25</v>
      </c>
      <c r="E117" t="s">
        <v>32</v>
      </c>
      <c r="F117">
        <v>34</v>
      </c>
      <c r="G117" t="s">
        <v>14</v>
      </c>
      <c r="H117" t="s">
        <v>15</v>
      </c>
      <c r="I117" t="s">
        <v>48</v>
      </c>
    </row>
    <row r="118" spans="1:9">
      <c r="A118" t="s">
        <v>56</v>
      </c>
      <c r="B118" t="s">
        <v>23</v>
      </c>
      <c r="C118" t="s">
        <v>34</v>
      </c>
      <c r="D118" t="s">
        <v>25</v>
      </c>
      <c r="E118" t="s">
        <v>35</v>
      </c>
      <c r="F118">
        <v>28</v>
      </c>
      <c r="G118" t="s">
        <v>14</v>
      </c>
      <c r="H118" t="s">
        <v>15</v>
      </c>
      <c r="I118" t="s">
        <v>48</v>
      </c>
    </row>
    <row r="119" spans="1:9">
      <c r="A119" t="s">
        <v>56</v>
      </c>
      <c r="B119" t="s">
        <v>23</v>
      </c>
      <c r="C119" t="s">
        <v>15</v>
      </c>
      <c r="D119" t="s">
        <v>25</v>
      </c>
      <c r="E119" t="s">
        <v>37</v>
      </c>
      <c r="F119">
        <v>26</v>
      </c>
      <c r="G119" t="s">
        <v>14</v>
      </c>
      <c r="H119" t="s">
        <v>15</v>
      </c>
      <c r="I119" t="s">
        <v>48</v>
      </c>
    </row>
    <row r="120" spans="1:9">
      <c r="A120" t="s">
        <v>56</v>
      </c>
      <c r="B120" t="s">
        <v>23</v>
      </c>
      <c r="C120" t="s">
        <v>15</v>
      </c>
      <c r="D120" t="s">
        <v>39</v>
      </c>
      <c r="E120" t="s">
        <v>40</v>
      </c>
      <c r="F120">
        <v>17</v>
      </c>
      <c r="G120" t="s">
        <v>14</v>
      </c>
      <c r="H120" t="s">
        <v>15</v>
      </c>
      <c r="I120" t="s">
        <v>48</v>
      </c>
    </row>
    <row r="121" spans="1:9">
      <c r="A121" t="s">
        <v>56</v>
      </c>
      <c r="B121" t="s">
        <v>23</v>
      </c>
      <c r="C121" t="s">
        <v>42</v>
      </c>
      <c r="D121" t="s">
        <v>39</v>
      </c>
      <c r="E121" t="s">
        <v>43</v>
      </c>
      <c r="F121">
        <v>9</v>
      </c>
      <c r="G121" t="s">
        <v>14</v>
      </c>
      <c r="H121" t="s">
        <v>15</v>
      </c>
      <c r="I121" t="s">
        <v>48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E5D8-0284-4313-ABBE-2B964BF7B450}">
  <dimension ref="A1:D9"/>
  <sheetViews>
    <sheetView topLeftCell="A3" workbookViewId="0">
      <selection activeCell="I9" sqref="I9"/>
    </sheetView>
  </sheetViews>
  <sheetFormatPr defaultRowHeight="14.4"/>
  <cols>
    <col min="1" max="1" width="8.33203125" bestFit="1" customWidth="1"/>
    <col min="2" max="2" width="20.109375" bestFit="1" customWidth="1"/>
    <col min="3" max="3" width="12.88671875" bestFit="1" customWidth="1"/>
    <col min="4" max="4" width="6.21875" bestFit="1" customWidth="1"/>
  </cols>
  <sheetData>
    <row r="1" spans="1:4" ht="27.6">
      <c r="A1" s="2" t="s">
        <v>58</v>
      </c>
      <c r="B1" s="2" t="s">
        <v>59</v>
      </c>
      <c r="C1" s="2" t="s">
        <v>60</v>
      </c>
      <c r="D1" s="2" t="s">
        <v>57</v>
      </c>
    </row>
    <row r="2" spans="1:4" ht="43.2">
      <c r="A2" s="3" t="s">
        <v>61</v>
      </c>
      <c r="B2" s="3" t="s">
        <v>62</v>
      </c>
      <c r="C2" s="3" t="s">
        <v>63</v>
      </c>
      <c r="D2" s="3">
        <f>ROWS(Raw_Actuals[#Data])</f>
        <v>120</v>
      </c>
    </row>
    <row r="3" spans="1:4" ht="28.8">
      <c r="A3" s="3" t="s">
        <v>64</v>
      </c>
      <c r="B3" s="3" t="s">
        <v>65</v>
      </c>
      <c r="C3" s="3" t="s">
        <v>66</v>
      </c>
      <c r="D3" s="3">
        <f>COUNTBLANK(Raw_Actuals[Month])</f>
        <v>0</v>
      </c>
    </row>
    <row r="4" spans="1:4" ht="43.2">
      <c r="A4" s="3" t="s">
        <v>67</v>
      </c>
      <c r="B4" s="3" t="s">
        <v>68</v>
      </c>
      <c r="C4" s="3" t="s">
        <v>69</v>
      </c>
      <c r="D4" s="3">
        <f>ROWS(Raw_Actuals[#Data])-ROWS(_xlfn.UNIQUE(Raw_Actuals[#Data]))</f>
        <v>0</v>
      </c>
    </row>
    <row r="5" spans="1:4" ht="43.2">
      <c r="A5" s="3" t="s">
        <v>70</v>
      </c>
      <c r="B5" s="3" t="s">
        <v>71</v>
      </c>
      <c r="C5" s="3" t="s">
        <v>72</v>
      </c>
      <c r="D5" s="3">
        <f>COUNTA(_xlfn.UNIQUE(Raw_Actuals[Month]))</f>
        <v>12</v>
      </c>
    </row>
    <row r="6" spans="1:4" ht="43.2">
      <c r="A6" s="3" t="s">
        <v>73</v>
      </c>
      <c r="B6" s="3" t="s">
        <v>74</v>
      </c>
      <c r="C6" s="3" t="s">
        <v>75</v>
      </c>
      <c r="D6" s="3">
        <f>COUNTA(_xlfn.UNIQUE(Raw_Actuals[Actual_Budget_Status]))</f>
        <v>1</v>
      </c>
    </row>
    <row r="7" spans="1:4" ht="43.2">
      <c r="A7" s="3" t="s">
        <v>76</v>
      </c>
      <c r="B7" s="3" t="s">
        <v>77</v>
      </c>
      <c r="C7" s="3" t="s">
        <v>78</v>
      </c>
      <c r="D7" s="3" t="s">
        <v>85</v>
      </c>
    </row>
    <row r="8" spans="1:4" ht="43.2">
      <c r="A8" s="3" t="s">
        <v>79</v>
      </c>
      <c r="B8" s="3" t="s">
        <v>80</v>
      </c>
      <c r="C8" s="3" t="s">
        <v>81</v>
      </c>
      <c r="D8" s="3">
        <f>COUNTIF(Raw_Actuals[Amount_INR_Lakh],"&lt;0")</f>
        <v>0</v>
      </c>
    </row>
    <row r="9" spans="1:4" ht="43.2">
      <c r="A9" s="3" t="s">
        <v>82</v>
      </c>
      <c r="B9" s="3" t="s">
        <v>83</v>
      </c>
      <c r="C9" s="3" t="s">
        <v>84</v>
      </c>
      <c r="D9" s="3">
        <f>COUNTA(_xlfn.UNIQUE(Raw_Actuals[Account_Category]))</f>
        <v>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6BFB3-A367-4AA7-B181-F7CEBB16BBF6}">
  <dimension ref="A1:K112"/>
  <sheetViews>
    <sheetView workbookViewId="0">
      <pane ySplit="1" topLeftCell="A32" activePane="bottomLeft" state="frozen"/>
      <selection pane="bottomLeft" activeCell="B48" sqref="B48"/>
    </sheetView>
  </sheetViews>
  <sheetFormatPr defaultRowHeight="14.4"/>
  <cols>
    <col min="1" max="1" width="33.21875" bestFit="1" customWidth="1"/>
    <col min="2" max="2" width="14.77734375" bestFit="1" customWidth="1"/>
    <col min="3" max="3" width="23.21875" bestFit="1" customWidth="1"/>
    <col min="4" max="4" width="16.6640625" bestFit="1" customWidth="1"/>
    <col min="5" max="5" width="14.5546875" bestFit="1" customWidth="1"/>
    <col min="6" max="6" width="8.44140625" bestFit="1" customWidth="1"/>
    <col min="7" max="7" width="31.33203125" bestFit="1" customWidth="1"/>
    <col min="8" max="8" width="34.44140625" bestFit="1" customWidth="1"/>
    <col min="9" max="9" width="20.88671875" bestFit="1" customWidth="1"/>
    <col min="10" max="10" width="13.5546875" bestFit="1" customWidth="1"/>
    <col min="11" max="11" width="14.77734375" bestFit="1" customWidth="1"/>
  </cols>
  <sheetData>
    <row r="1" spans="1:9">
      <c r="A1" s="18" t="s">
        <v>86</v>
      </c>
      <c r="B1" s="18" t="s">
        <v>87</v>
      </c>
    </row>
    <row r="2" spans="1:9">
      <c r="A2" t="s">
        <v>88</v>
      </c>
      <c r="B2">
        <f>SUMIFS(Raw_Actuals[Amount_INR_Lakh],Raw_Actuals[Account_Category],"Revenue")</f>
        <v>9143</v>
      </c>
      <c r="D2" s="18" t="s">
        <v>133</v>
      </c>
      <c r="E2" s="18" t="s">
        <v>134</v>
      </c>
      <c r="F2" s="18" t="s">
        <v>138</v>
      </c>
      <c r="G2" s="19" t="s">
        <v>147</v>
      </c>
      <c r="H2" s="19" t="s">
        <v>97</v>
      </c>
      <c r="I2" s="19" t="s">
        <v>148</v>
      </c>
    </row>
    <row r="3" spans="1:9">
      <c r="A3" t="s">
        <v>89</v>
      </c>
      <c r="B3">
        <f>SUMIFS(Raw_Actuals[Amount_INR_Lakh],Raw_Actuals[Account_Category],"Operating Expense")</f>
        <v>4695</v>
      </c>
      <c r="D3" t="s">
        <v>12</v>
      </c>
      <c r="E3">
        <f>B2</f>
        <v>9143</v>
      </c>
      <c r="F3" s="16">
        <f>E3/$E$3</f>
        <v>1</v>
      </c>
      <c r="G3" t="s">
        <v>10</v>
      </c>
      <c r="H3">
        <f>SUMIFS(Raw_Actuals[Amount_INR_Lakh],Raw_Actuals[Business_Unit],G3,Raw_Actuals[Account_Category],"Revenue")</f>
        <v>4520</v>
      </c>
      <c r="I3" s="16">
        <f>H3/$B$2</f>
        <v>0.49436727551132015</v>
      </c>
    </row>
    <row r="4" spans="1:9">
      <c r="A4" t="s">
        <v>90</v>
      </c>
      <c r="B4">
        <f>SUMIFS(Raw_Actuals[Amount_INR_Lakh],Raw_Actuals[Business_Unit],"Software Solutions",Raw_Actuals[Account_Category],"Revenue")</f>
        <v>4520</v>
      </c>
      <c r="D4" t="s">
        <v>121</v>
      </c>
      <c r="E4" s="10">
        <f>B53</f>
        <v>4448</v>
      </c>
      <c r="F4" s="16">
        <f t="shared" ref="F4:F7" si="0">E4/$E$3</f>
        <v>0.48649239855627258</v>
      </c>
      <c r="G4" t="s">
        <v>17</v>
      </c>
      <c r="H4">
        <f>SUMIFS(Raw_Actuals[Amount_INR_Lakh],Raw_Actuals[Business_Unit],G4,Raw_Actuals[Account_Category],"Revenue")</f>
        <v>2783</v>
      </c>
      <c r="I4" s="16">
        <f t="shared" ref="I4:I5" si="1">H4/$B$2</f>
        <v>0.30438586897079734</v>
      </c>
    </row>
    <row r="5" spans="1:9">
      <c r="A5" t="s">
        <v>91</v>
      </c>
      <c r="B5" s="4">
        <f>B4/B2</f>
        <v>0.49436727551132015</v>
      </c>
      <c r="D5" t="s">
        <v>135</v>
      </c>
      <c r="E5" s="10">
        <f>B56</f>
        <v>4244</v>
      </c>
      <c r="F5" s="16">
        <f t="shared" si="0"/>
        <v>0.46418024718363776</v>
      </c>
      <c r="G5" t="s">
        <v>20</v>
      </c>
      <c r="H5">
        <f>SUMIFS(Raw_Actuals[Amount_INR_Lakh],Raw_Actuals[Business_Unit],G5,Raw_Actuals[Account_Category],"Revenue")</f>
        <v>1840</v>
      </c>
      <c r="I5" s="16">
        <f t="shared" si="1"/>
        <v>0.20124685551788254</v>
      </c>
    </row>
    <row r="6" spans="1:9">
      <c r="A6" t="s">
        <v>92</v>
      </c>
      <c r="B6">
        <f>SUMIFS(Raw_Actuals[Amount_INR_Lakh],Raw_Actuals[Business_Unit],"Data Analytics",Raw_Actuals[Account_Category],"Revenue")</f>
        <v>2783</v>
      </c>
      <c r="D6" t="s">
        <v>136</v>
      </c>
      <c r="E6" s="10">
        <f>B58</f>
        <v>4136</v>
      </c>
      <c r="F6" s="16">
        <f t="shared" si="0"/>
        <v>0.45236793175106638</v>
      </c>
    </row>
    <row r="7" spans="1:9">
      <c r="A7" t="s">
        <v>93</v>
      </c>
      <c r="B7" s="4">
        <f>B6/B2</f>
        <v>0.30438586897079734</v>
      </c>
      <c r="D7" t="s">
        <v>137</v>
      </c>
      <c r="E7" s="10">
        <f>B62</f>
        <v>3102</v>
      </c>
      <c r="F7" s="16">
        <f t="shared" si="0"/>
        <v>0.33927594881329981</v>
      </c>
      <c r="G7" t="s">
        <v>149</v>
      </c>
      <c r="H7">
        <f>SUM(H3:H5)-$B$2</f>
        <v>0</v>
      </c>
    </row>
    <row r="8" spans="1:9">
      <c r="A8" t="s">
        <v>22</v>
      </c>
      <c r="B8">
        <f>SUMIFS(Raw_Actuals[Amount_INR_Lakh],Raw_Actuals[Business_Unit],"Cloud Services",Raw_Actuals[Account_Category],"Revenue")</f>
        <v>1840</v>
      </c>
    </row>
    <row r="9" spans="1:9">
      <c r="A9" t="s">
        <v>94</v>
      </c>
      <c r="B9" s="4">
        <f>B8/B2</f>
        <v>0.20124685551788254</v>
      </c>
    </row>
    <row r="10" spans="1:9">
      <c r="A10" t="s">
        <v>95</v>
      </c>
      <c r="B10">
        <f>SUM(B4,B6,B8)-B2</f>
        <v>0</v>
      </c>
    </row>
    <row r="13" spans="1:9">
      <c r="A13" s="18" t="s">
        <v>96</v>
      </c>
    </row>
    <row r="14" spans="1:9">
      <c r="A14" s="18" t="s">
        <v>0</v>
      </c>
      <c r="B14" s="18" t="s">
        <v>97</v>
      </c>
      <c r="C14" s="18" t="s">
        <v>99</v>
      </c>
      <c r="F14" s="6"/>
    </row>
    <row r="15" spans="1:9">
      <c r="A15" s="6">
        <f>DATE(2026,4,1)</f>
        <v>46113</v>
      </c>
      <c r="B15">
        <f>SUMIFS(Raw_Actuals[Amount_INR_Lakh],Raw_Actuals[Month],$A15,Raw_Actuals[Account_Category],"Revenue")</f>
        <v>650</v>
      </c>
      <c r="F15" s="6"/>
    </row>
    <row r="16" spans="1:9">
      <c r="A16" s="6">
        <f>EDATE(A15,1)</f>
        <v>46143</v>
      </c>
      <c r="B16">
        <f>SUMIFS(Raw_Actuals[Amount_INR_Lakh],Raw_Actuals[Month],$A16,Raw_Actuals[Account_Category],"Revenue")</f>
        <v>675</v>
      </c>
      <c r="C16" s="16">
        <f>(B16-B15)/B15</f>
        <v>3.8461538461538464E-2</v>
      </c>
      <c r="F16" s="6"/>
    </row>
    <row r="17" spans="1:11">
      <c r="A17" s="6">
        <f t="shared" ref="A17:A26" si="2">EDATE(A16,1)</f>
        <v>46174</v>
      </c>
      <c r="B17">
        <f>SUMIFS(Raw_Actuals[Amount_INR_Lakh],Raw_Actuals[Month],$A17,Raw_Actuals[Account_Category],"Revenue")</f>
        <v>698</v>
      </c>
      <c r="C17" s="16">
        <f t="shared" ref="C17:C26" si="3">(B17-B16)/B16</f>
        <v>3.4074074074074076E-2</v>
      </c>
      <c r="F17" s="6"/>
    </row>
    <row r="18" spans="1:11">
      <c r="A18" s="6">
        <f t="shared" si="2"/>
        <v>46204</v>
      </c>
      <c r="B18">
        <f>SUMIFS(Raw_Actuals[Amount_INR_Lakh],Raw_Actuals[Month],$A18,Raw_Actuals[Account_Category],"Revenue")</f>
        <v>710</v>
      </c>
      <c r="C18" s="16">
        <f t="shared" si="3"/>
        <v>1.7191977077363897E-2</v>
      </c>
      <c r="F18" s="6"/>
    </row>
    <row r="19" spans="1:11">
      <c r="A19" s="6">
        <f t="shared" si="2"/>
        <v>46235</v>
      </c>
      <c r="B19">
        <f>SUMIFS(Raw_Actuals[Amount_INR_Lakh],Raw_Actuals[Month],$A19,Raw_Actuals[Account_Category],"Revenue")</f>
        <v>727</v>
      </c>
      <c r="C19" s="16">
        <f t="shared" si="3"/>
        <v>2.3943661971830985E-2</v>
      </c>
      <c r="F19" s="6"/>
    </row>
    <row r="20" spans="1:11">
      <c r="A20" s="6">
        <f t="shared" si="2"/>
        <v>46266</v>
      </c>
      <c r="B20">
        <f>SUMIFS(Raw_Actuals[Amount_INR_Lakh],Raw_Actuals[Month],$A20,Raw_Actuals[Account_Category],"Revenue")</f>
        <v>748</v>
      </c>
      <c r="C20" s="16">
        <f t="shared" si="3"/>
        <v>2.8885832187070151E-2</v>
      </c>
      <c r="F20" s="6"/>
      <c r="G20" s="18" t="s">
        <v>147</v>
      </c>
      <c r="H20" s="18" t="s">
        <v>97</v>
      </c>
      <c r="I20" s="18" t="s">
        <v>150</v>
      </c>
      <c r="J20" s="18" t="s">
        <v>144</v>
      </c>
      <c r="K20" s="18" t="s">
        <v>145</v>
      </c>
    </row>
    <row r="21" spans="1:11">
      <c r="A21" s="6">
        <f t="shared" si="2"/>
        <v>46296</v>
      </c>
      <c r="B21">
        <f>SUMIFS(Raw_Actuals[Amount_INR_Lakh],Raw_Actuals[Month],$A21,Raw_Actuals[Account_Category],"Revenue")</f>
        <v>767</v>
      </c>
      <c r="C21" s="16">
        <f t="shared" si="3"/>
        <v>2.5401069518716578E-2</v>
      </c>
      <c r="F21" s="6"/>
      <c r="G21" t="s">
        <v>10</v>
      </c>
      <c r="H21">
        <f>SUMIFS(Raw_Actuals[Amount_INR_Lakh],Raw_Actuals[Business_Unit],G21,Raw_Actuals[Account_Category],"Revenue")</f>
        <v>4520</v>
      </c>
      <c r="I21" s="17">
        <f>$B$3*(H21/$B$2)</f>
        <v>2321.0543585256482</v>
      </c>
      <c r="J21" s="17">
        <f>H21-I21</f>
        <v>2198.9456414743518</v>
      </c>
      <c r="K21" s="16">
        <f>J21/H21</f>
        <v>0.48649239855627252</v>
      </c>
    </row>
    <row r="22" spans="1:11">
      <c r="A22" s="6">
        <f t="shared" si="2"/>
        <v>46327</v>
      </c>
      <c r="B22">
        <f>SUMIFS(Raw_Actuals[Amount_INR_Lakh],Raw_Actuals[Month],$A22,Raw_Actuals[Account_Category],"Revenue")</f>
        <v>788</v>
      </c>
      <c r="C22" s="16">
        <f t="shared" si="3"/>
        <v>2.7379400260756193E-2</v>
      </c>
      <c r="F22" s="6"/>
      <c r="G22" t="s">
        <v>17</v>
      </c>
      <c r="H22">
        <f>SUMIFS(Raw_Actuals[Amount_INR_Lakh],Raw_Actuals[Business_Unit],G22,Raw_Actuals[Account_Category],"Revenue")</f>
        <v>2783</v>
      </c>
      <c r="I22" s="17">
        <f t="shared" ref="I22:I23" si="4">$B$3*(H22/$B$2)</f>
        <v>1429.0916548178934</v>
      </c>
      <c r="J22" s="17">
        <f t="shared" ref="J22:J23" si="5">H22-I22</f>
        <v>1353.9083451821066</v>
      </c>
      <c r="K22" s="16">
        <f t="shared" ref="K22:K23" si="6">J22/H22</f>
        <v>0.48649239855627258</v>
      </c>
    </row>
    <row r="23" spans="1:11">
      <c r="A23" s="6">
        <f t="shared" si="2"/>
        <v>46357</v>
      </c>
      <c r="B23">
        <f>SUMIFS(Raw_Actuals[Amount_INR_Lakh],Raw_Actuals[Month],$A23,Raw_Actuals[Account_Category],"Revenue")</f>
        <v>810</v>
      </c>
      <c r="C23" s="16">
        <f t="shared" si="3"/>
        <v>2.7918781725888325E-2</v>
      </c>
      <c r="F23" s="6"/>
      <c r="G23" t="s">
        <v>20</v>
      </c>
      <c r="H23">
        <f>SUMIFS(Raw_Actuals[Amount_INR_Lakh],Raw_Actuals[Business_Unit],G23,Raw_Actuals[Account_Category],"Revenue")</f>
        <v>1840</v>
      </c>
      <c r="I23" s="17">
        <f t="shared" si="4"/>
        <v>944.85398665645857</v>
      </c>
      <c r="J23" s="17">
        <f t="shared" si="5"/>
        <v>895.14601334354143</v>
      </c>
      <c r="K23" s="16">
        <f t="shared" si="6"/>
        <v>0.48649239855627252</v>
      </c>
    </row>
    <row r="24" spans="1:11">
      <c r="A24" s="6">
        <f t="shared" si="2"/>
        <v>46388</v>
      </c>
      <c r="B24">
        <f>SUMIFS(Raw_Actuals[Amount_INR_Lakh],Raw_Actuals[Month],$A24,Raw_Actuals[Account_Category],"Revenue")</f>
        <v>830</v>
      </c>
      <c r="C24" s="16">
        <f t="shared" si="3"/>
        <v>2.4691358024691357E-2</v>
      </c>
      <c r="F24" s="6"/>
    </row>
    <row r="25" spans="1:11">
      <c r="A25" s="6">
        <f t="shared" si="2"/>
        <v>46419</v>
      </c>
      <c r="B25">
        <f>SUMIFS(Raw_Actuals[Amount_INR_Lakh],Raw_Actuals[Month],$A25,Raw_Actuals[Account_Category],"Revenue")</f>
        <v>850</v>
      </c>
      <c r="C25" s="16">
        <f t="shared" si="3"/>
        <v>2.4096385542168676E-2</v>
      </c>
      <c r="F25" s="6"/>
      <c r="H25" t="s">
        <v>151</v>
      </c>
      <c r="I25" s="17">
        <f>SUM(J21:J23)-$B$53</f>
        <v>0</v>
      </c>
    </row>
    <row r="26" spans="1:11">
      <c r="A26" s="6">
        <f t="shared" si="2"/>
        <v>46447</v>
      </c>
      <c r="B26">
        <f>SUMIFS(Raw_Actuals[Amount_INR_Lakh],Raw_Actuals[Month],$A26,Raw_Actuals[Account_Category],"Revenue")</f>
        <v>890</v>
      </c>
      <c r="C26" s="16">
        <f t="shared" si="3"/>
        <v>4.7058823529411764E-2</v>
      </c>
    </row>
    <row r="28" spans="1:11">
      <c r="A28" t="s">
        <v>98</v>
      </c>
      <c r="B28">
        <f>SUM(B15:B26)-B2</f>
        <v>0</v>
      </c>
    </row>
    <row r="30" spans="1:11">
      <c r="A30" t="s">
        <v>100</v>
      </c>
      <c r="B30" s="8">
        <f>AVERAGE(B15:B26)</f>
        <v>761.91666666666663</v>
      </c>
    </row>
    <row r="31" spans="1:11">
      <c r="A31" t="s">
        <v>101</v>
      </c>
      <c r="B31">
        <f>MAX(B15:B26)</f>
        <v>890</v>
      </c>
    </row>
    <row r="32" spans="1:11">
      <c r="A32" t="s">
        <v>102</v>
      </c>
      <c r="B32">
        <f>MIN(B15:B26)</f>
        <v>650</v>
      </c>
    </row>
    <row r="33" spans="1:8">
      <c r="A33" t="s">
        <v>103</v>
      </c>
      <c r="B33">
        <f>B31-B32</f>
        <v>240</v>
      </c>
    </row>
    <row r="34" spans="1:8">
      <c r="A34" t="s">
        <v>104</v>
      </c>
      <c r="B34" s="8">
        <f>_xlfn.STDEV.S(B15:B26)</f>
        <v>73.910828746947544</v>
      </c>
    </row>
    <row r="35" spans="1:8">
      <c r="A35" t="s">
        <v>105</v>
      </c>
      <c r="B35" s="4">
        <f>B34/B30</f>
        <v>9.7006447004634205E-2</v>
      </c>
    </row>
    <row r="36" spans="1:8">
      <c r="A36" t="s">
        <v>106</v>
      </c>
      <c r="B36">
        <f>B2/100</f>
        <v>91.43</v>
      </c>
    </row>
    <row r="38" spans="1:8">
      <c r="A38" t="s">
        <v>107</v>
      </c>
      <c r="B38">
        <f>SUMIFS(Raw_Actuals[Amount_INR_Lakh],Raw_Actuals[Account_Name],"Employee Cost")</f>
        <v>3169</v>
      </c>
    </row>
    <row r="39" spans="1:8">
      <c r="A39" t="s">
        <v>108</v>
      </c>
      <c r="B39" s="4">
        <f>B38/B2</f>
        <v>0.34660395931313576</v>
      </c>
    </row>
    <row r="40" spans="1:8">
      <c r="A40" t="s">
        <v>109</v>
      </c>
      <c r="B40">
        <f>SUMIFS(Raw_Actuals[Amount_INR_Lakh],Raw_Actuals[Account_Name],"Rent and Utilities")</f>
        <v>588</v>
      </c>
    </row>
    <row r="41" spans="1:8">
      <c r="A41" t="s">
        <v>110</v>
      </c>
      <c r="B41" s="4">
        <f>B40/B2</f>
        <v>6.4311495132888544E-2</v>
      </c>
    </row>
    <row r="42" spans="1:8">
      <c r="A42" t="s">
        <v>111</v>
      </c>
      <c r="B42">
        <f>SUMIFS(Raw_Actuals[Amount_INR_Lakh],Raw_Actuals[Account_Name],"Software Licenses")</f>
        <v>374</v>
      </c>
    </row>
    <row r="43" spans="1:8">
      <c r="A43" t="s">
        <v>112</v>
      </c>
      <c r="B43" s="4">
        <f>B42/B2</f>
        <v>4.0905610849830472E-2</v>
      </c>
    </row>
    <row r="44" spans="1:8">
      <c r="A44" t="s">
        <v>113</v>
      </c>
      <c r="B44">
        <f>SUMIFS(Raw_Actuals[Amount_INR_Lakh],Raw_Actuals[Account_Name],"Travel and Sales Expense")</f>
        <v>285</v>
      </c>
    </row>
    <row r="45" spans="1:8">
      <c r="A45" t="s">
        <v>114</v>
      </c>
      <c r="B45" s="4">
        <f>B44/B2</f>
        <v>3.1171387947063329E-2</v>
      </c>
      <c r="G45" s="18" t="s">
        <v>187</v>
      </c>
      <c r="H45" s="18" t="s">
        <v>188</v>
      </c>
    </row>
    <row r="46" spans="1:8">
      <c r="A46" t="s">
        <v>115</v>
      </c>
      <c r="B46">
        <f>SUMIFS(Raw_Actuals[Amount_INR_Lakh],Raw_Actuals[Account_Name],"Other Administrative Expenses")</f>
        <v>279</v>
      </c>
      <c r="G46" s="24" t="s">
        <v>29</v>
      </c>
      <c r="H46">
        <f>SUMIFS(Raw_Actuals[Amount_INR_Lakh],Raw_Actuals[Account_Name],G46)</f>
        <v>588</v>
      </c>
    </row>
    <row r="47" spans="1:8">
      <c r="A47" t="s">
        <v>116</v>
      </c>
      <c r="B47" s="9">
        <f>SUM(B38,B40,B42,B44,B46)</f>
        <v>4695</v>
      </c>
      <c r="G47" t="s">
        <v>32</v>
      </c>
      <c r="H47">
        <f>SUMIFS(Raw_Actuals[Amount_INR_Lakh],Raw_Actuals[Account_Name],G47)</f>
        <v>374</v>
      </c>
    </row>
    <row r="48" spans="1:8">
      <c r="A48" t="s">
        <v>117</v>
      </c>
      <c r="B48" s="4">
        <f>B47/B2</f>
        <v>0.51350760144372742</v>
      </c>
      <c r="G48" t="s">
        <v>35</v>
      </c>
      <c r="H48">
        <f>SUMIFS(Raw_Actuals[Amount_INR_Lakh],Raw_Actuals[Account_Name],G48)</f>
        <v>285</v>
      </c>
    </row>
    <row r="49" spans="1:8">
      <c r="A49" t="s">
        <v>118</v>
      </c>
      <c r="B49" s="4">
        <f>B38/B47</f>
        <v>0.67497337593184237</v>
      </c>
      <c r="G49" t="s">
        <v>37</v>
      </c>
      <c r="H49">
        <f>SUMIFS(Raw_Actuals[Amount_INR_Lakh],Raw_Actuals[Account_Name],G49)</f>
        <v>279</v>
      </c>
    </row>
    <row r="50" spans="1:8">
      <c r="A50" t="s">
        <v>119</v>
      </c>
      <c r="B50" s="10">
        <f>B47-B38</f>
        <v>1526</v>
      </c>
    </row>
    <row r="51" spans="1:8">
      <c r="A51" t="s">
        <v>120</v>
      </c>
      <c r="B51" s="10">
        <f>B38+B50-B47</f>
        <v>0</v>
      </c>
    </row>
    <row r="52" spans="1:8">
      <c r="G52" s="18" t="s">
        <v>0</v>
      </c>
      <c r="H52" s="18" t="s">
        <v>189</v>
      </c>
    </row>
    <row r="53" spans="1:8">
      <c r="A53" t="s">
        <v>121</v>
      </c>
      <c r="B53" s="10">
        <f>B2-B47</f>
        <v>4448</v>
      </c>
      <c r="G53" s="5">
        <f>A15</f>
        <v>46113</v>
      </c>
      <c r="H53">
        <f>SUMIFS(Raw_Actuals[Amount_INR_Lakh],Raw_Actuals[Month],G53,Raw_Actuals[Account_Name],"Rent and Utilities")</f>
        <v>48</v>
      </c>
    </row>
    <row r="54" spans="1:8">
      <c r="A54" t="s">
        <v>122</v>
      </c>
      <c r="B54" s="4">
        <f>B53/B2</f>
        <v>0.48649239855627258</v>
      </c>
      <c r="G54" s="28">
        <f>EDATE(G53,1)</f>
        <v>46143</v>
      </c>
      <c r="H54">
        <f>SUMIFS(Raw_Actuals[Amount_INR_Lakh],Raw_Actuals[Month],G54,Raw_Actuals[Account_Name],"Rent and Utilities")</f>
        <v>48</v>
      </c>
    </row>
    <row r="55" spans="1:8">
      <c r="A55" t="s">
        <v>123</v>
      </c>
      <c r="B55">
        <f>SUMIFS(Raw_Actuals[Amount_INR_Lakh],Raw_Actuals[Account_Name],"Depreciation")</f>
        <v>204</v>
      </c>
      <c r="G55" s="5">
        <f t="shared" ref="G55" si="7">A17</f>
        <v>46174</v>
      </c>
      <c r="H55">
        <f>SUMIFS(Raw_Actuals[Amount_INR_Lakh],Raw_Actuals[Month],G55,Raw_Actuals[Account_Name],"Rent and Utilities")</f>
        <v>48</v>
      </c>
    </row>
    <row r="56" spans="1:8">
      <c r="A56" t="s">
        <v>124</v>
      </c>
      <c r="B56" s="10">
        <f>B53-B55</f>
        <v>4244</v>
      </c>
      <c r="G56" s="28">
        <f t="shared" ref="G56" si="8">EDATE(G55,1)</f>
        <v>46204</v>
      </c>
      <c r="H56">
        <f>SUMIFS(Raw_Actuals[Amount_INR_Lakh],Raw_Actuals[Month],G56,Raw_Actuals[Account_Name],"Rent and Utilities")</f>
        <v>48</v>
      </c>
    </row>
    <row r="57" spans="1:8">
      <c r="A57" t="s">
        <v>43</v>
      </c>
      <c r="B57">
        <f>SUMIFS(Raw_Actuals[Amount_INR_Lakh],Raw_Actuals[Account_Name],"Interest Expense")</f>
        <v>108</v>
      </c>
      <c r="G57" s="5">
        <f t="shared" ref="G57" si="9">A19</f>
        <v>46235</v>
      </c>
      <c r="H57">
        <f>SUMIFS(Raw_Actuals[Amount_INR_Lakh],Raw_Actuals[Month],G57,Raw_Actuals[Account_Name],"Rent and Utilities")</f>
        <v>48</v>
      </c>
    </row>
    <row r="58" spans="1:8">
      <c r="A58" t="s">
        <v>125</v>
      </c>
      <c r="B58" s="10">
        <f>B56-B57</f>
        <v>4136</v>
      </c>
      <c r="G58" s="28">
        <f t="shared" ref="G58" si="10">EDATE(G57,1)</f>
        <v>46266</v>
      </c>
      <c r="H58">
        <f>SUMIFS(Raw_Actuals[Amount_INR_Lakh],Raw_Actuals[Month],G58,Raw_Actuals[Account_Name],"Rent and Utilities")</f>
        <v>49</v>
      </c>
    </row>
    <row r="59" spans="1:8">
      <c r="A59" t="s">
        <v>126</v>
      </c>
      <c r="B59">
        <f>SUMIFS(Raw_Actuals[Amount_INR_Lakh],Raw_Actuals[Account_Name],"Tax Expense")</f>
        <v>0</v>
      </c>
      <c r="G59" s="5">
        <f t="shared" ref="G59" si="11">A21</f>
        <v>46296</v>
      </c>
      <c r="H59">
        <f>SUMIFS(Raw_Actuals[Amount_INR_Lakh],Raw_Actuals[Month],G59,Raw_Actuals[Account_Name],"Rent and Utilities")</f>
        <v>49</v>
      </c>
    </row>
    <row r="60" spans="1:8">
      <c r="A60" t="s">
        <v>127</v>
      </c>
      <c r="B60">
        <v>25</v>
      </c>
      <c r="G60" s="28">
        <f t="shared" ref="G60" si="12">EDATE(G59,1)</f>
        <v>46327</v>
      </c>
      <c r="H60">
        <f>SUMIFS(Raw_Actuals[Amount_INR_Lakh],Raw_Actuals[Month],G60,Raw_Actuals[Account_Name],"Rent and Utilities")</f>
        <v>49</v>
      </c>
    </row>
    <row r="61" spans="1:8">
      <c r="A61" t="s">
        <v>128</v>
      </c>
      <c r="B61">
        <f>B58*B60/100</f>
        <v>1034</v>
      </c>
      <c r="G61" s="5">
        <f t="shared" ref="G61" si="13">A23</f>
        <v>46357</v>
      </c>
      <c r="H61">
        <f>SUMIFS(Raw_Actuals[Amount_INR_Lakh],Raw_Actuals[Month],G61,Raw_Actuals[Account_Name],"Rent and Utilities")</f>
        <v>50</v>
      </c>
    </row>
    <row r="62" spans="1:8">
      <c r="A62" t="s">
        <v>129</v>
      </c>
      <c r="B62" s="10">
        <f>B58-B61</f>
        <v>3102</v>
      </c>
      <c r="G62" s="28">
        <f t="shared" ref="G62" si="14">EDATE(G61,1)</f>
        <v>46388</v>
      </c>
      <c r="H62">
        <f>SUMIFS(Raw_Actuals[Amount_INR_Lakh],Raw_Actuals[Month],G62,Raw_Actuals[Account_Name],"Rent and Utilities")</f>
        <v>50</v>
      </c>
    </row>
    <row r="63" spans="1:8">
      <c r="A63" t="s">
        <v>130</v>
      </c>
      <c r="B63" s="4">
        <f>B62/B2</f>
        <v>0.33927594881329981</v>
      </c>
      <c r="G63" s="5">
        <f t="shared" ref="G63" si="15">A25</f>
        <v>46419</v>
      </c>
      <c r="H63">
        <f>SUMIFS(Raw_Actuals[Amount_INR_Lakh],Raw_Actuals[Month],G63,Raw_Actuals[Account_Name],"Rent and Utilities")</f>
        <v>50</v>
      </c>
    </row>
    <row r="64" spans="1:8">
      <c r="A64" t="s">
        <v>131</v>
      </c>
      <c r="B64">
        <f>SUMIFS(Raw_Actuals[Amount_INR_Lakh],Raw_Actuals[Account_Category],"Other")</f>
        <v>312</v>
      </c>
      <c r="G64" s="28">
        <f t="shared" ref="G64" si="16">EDATE(G63,1)</f>
        <v>46447</v>
      </c>
      <c r="H64">
        <f>SUMIFS(Raw_Actuals[Amount_INR_Lakh],Raw_Actuals[Month],G64,Raw_Actuals[Account_Name],"Rent and Utilities")</f>
        <v>51</v>
      </c>
    </row>
    <row r="65" spans="1:8">
      <c r="A65" t="s">
        <v>132</v>
      </c>
      <c r="B65" s="10">
        <f>B2-B47-B55-B57-B61-B62</f>
        <v>0</v>
      </c>
      <c r="G65" s="5"/>
    </row>
    <row r="66" spans="1:8">
      <c r="G66" s="28"/>
    </row>
    <row r="67" spans="1:8">
      <c r="G67" s="29" t="s">
        <v>0</v>
      </c>
      <c r="H67" s="18" t="s">
        <v>190</v>
      </c>
    </row>
    <row r="68" spans="1:8" ht="22.2" customHeight="1">
      <c r="A68" s="20" t="s">
        <v>140</v>
      </c>
      <c r="B68" s="11"/>
      <c r="G68" s="5">
        <f>A15</f>
        <v>46113</v>
      </c>
      <c r="H68" s="10">
        <f>SUMIFS(Raw_Actuals[Amount_INR_Lakh],Raw_Actuals[Month],G68,Raw_Actuals[Account_Name],"Software Licenses")</f>
        <v>28</v>
      </c>
    </row>
    <row r="69" spans="1:8" ht="29.4" customHeight="1">
      <c r="A69" s="3" t="s">
        <v>0</v>
      </c>
      <c r="B69" s="3" t="s">
        <v>141</v>
      </c>
      <c r="C69" s="13" t="s">
        <v>99</v>
      </c>
      <c r="G69" s="5">
        <f t="shared" ref="G69:G79" si="17">A16</f>
        <v>46143</v>
      </c>
      <c r="H69" s="10">
        <f>SUMIFS(Raw_Actuals[Amount_INR_Lakh],Raw_Actuals[Month],G69,Raw_Actuals[Account_Name],"Software Licenses")</f>
        <v>29</v>
      </c>
    </row>
    <row r="70" spans="1:8">
      <c r="A70" s="14">
        <f>A15</f>
        <v>46113</v>
      </c>
      <c r="B70" s="12">
        <f>SUMIFS(Raw_Actuals[Amount_INR_Lakh],Raw_Actuals[Month],A70,Raw_Actuals[Account_Category],"Operating Expense")</f>
        <v>366</v>
      </c>
      <c r="G70" s="5">
        <f t="shared" si="17"/>
        <v>46174</v>
      </c>
      <c r="H70" s="10">
        <f>SUMIFS(Raw_Actuals[Amount_INR_Lakh],Raw_Actuals[Month],G70,Raw_Actuals[Account_Name],"Software Licenses")</f>
        <v>31</v>
      </c>
    </row>
    <row r="71" spans="1:8">
      <c r="A71" s="15">
        <f>EDATE(A70,1)</f>
        <v>46143</v>
      </c>
      <c r="B71" s="12">
        <f>SUMIFS(Raw_Actuals[Amount_INR_Lakh],Raw_Actuals[Month],A71,Raw_Actuals[Account_Category],"Operating Expense")</f>
        <v>370</v>
      </c>
      <c r="C71" s="7">
        <f>(B71-B70)/B70</f>
        <v>1.092896174863388E-2</v>
      </c>
      <c r="G71" s="5">
        <f t="shared" si="17"/>
        <v>46204</v>
      </c>
      <c r="H71" s="10">
        <f>SUMIFS(Raw_Actuals[Amount_INR_Lakh],Raw_Actuals[Month],G71,Raw_Actuals[Account_Name],"Software Licenses")</f>
        <v>30</v>
      </c>
    </row>
    <row r="72" spans="1:8">
      <c r="A72" s="14">
        <f t="shared" ref="A72" si="18">A17</f>
        <v>46174</v>
      </c>
      <c r="B72" s="12">
        <f>SUMIFS(Raw_Actuals[Amount_INR_Lakh],Raw_Actuals[Month],A72,Raw_Actuals[Account_Category],"Operating Expense")</f>
        <v>381</v>
      </c>
      <c r="C72" s="7">
        <f t="shared" ref="C72:C81" si="19">(B72-B71)/B71</f>
        <v>2.9729729729729731E-2</v>
      </c>
      <c r="G72" s="5">
        <f t="shared" si="17"/>
        <v>46235</v>
      </c>
      <c r="H72" s="10">
        <f>SUMIFS(Raw_Actuals[Amount_INR_Lakh],Raw_Actuals[Month],G72,Raw_Actuals[Account_Name],"Software Licenses")</f>
        <v>30</v>
      </c>
    </row>
    <row r="73" spans="1:8">
      <c r="A73" s="15">
        <f t="shared" ref="A73" si="20">EDATE(A72,1)</f>
        <v>46204</v>
      </c>
      <c r="B73" s="12">
        <f>SUMIFS(Raw_Actuals[Amount_INR_Lakh],Raw_Actuals[Month],A73,Raw_Actuals[Account_Category],"Operating Expense")</f>
        <v>380</v>
      </c>
      <c r="C73" s="7">
        <f t="shared" si="19"/>
        <v>-2.6246719160104987E-3</v>
      </c>
      <c r="G73" s="5">
        <f t="shared" si="17"/>
        <v>46266</v>
      </c>
      <c r="H73" s="10">
        <f>SUMIFS(Raw_Actuals[Amount_INR_Lakh],Raw_Actuals[Month],G73,Raw_Actuals[Account_Name],"Software Licenses")</f>
        <v>31</v>
      </c>
    </row>
    <row r="74" spans="1:8">
      <c r="A74" s="14">
        <f t="shared" ref="A74" si="21">A19</f>
        <v>46235</v>
      </c>
      <c r="B74" s="12">
        <f>SUMIFS(Raw_Actuals[Amount_INR_Lakh],Raw_Actuals[Month],A74,Raw_Actuals[Account_Category],"Operating Expense")</f>
        <v>384</v>
      </c>
      <c r="C74" s="7">
        <f t="shared" si="19"/>
        <v>1.0526315789473684E-2</v>
      </c>
      <c r="G74" s="5">
        <f t="shared" si="17"/>
        <v>46296</v>
      </c>
      <c r="H74" s="10">
        <f>SUMIFS(Raw_Actuals[Amount_INR_Lakh],Raw_Actuals[Month],G74,Raw_Actuals[Account_Name],"Software Licenses")</f>
        <v>31</v>
      </c>
    </row>
    <row r="75" spans="1:8">
      <c r="A75" s="15">
        <f t="shared" ref="A75" si="22">EDATE(A74,1)</f>
        <v>46266</v>
      </c>
      <c r="B75" s="12">
        <f>SUMIFS(Raw_Actuals[Amount_INR_Lakh],Raw_Actuals[Month],A75,Raw_Actuals[Account_Category],"Operating Expense")</f>
        <v>388</v>
      </c>
      <c r="C75" s="7">
        <f t="shared" si="19"/>
        <v>1.0416666666666666E-2</v>
      </c>
      <c r="G75" s="5">
        <f t="shared" si="17"/>
        <v>46327</v>
      </c>
      <c r="H75" s="10">
        <f>SUMIFS(Raw_Actuals[Amount_INR_Lakh],Raw_Actuals[Month],G75,Raw_Actuals[Account_Name],"Software Licenses")</f>
        <v>32</v>
      </c>
    </row>
    <row r="76" spans="1:8">
      <c r="A76" s="14">
        <f t="shared" ref="A76" si="23">A21</f>
        <v>46296</v>
      </c>
      <c r="B76" s="12">
        <f>SUMIFS(Raw_Actuals[Amount_INR_Lakh],Raw_Actuals[Month],A76,Raw_Actuals[Account_Category],"Operating Expense")</f>
        <v>392</v>
      </c>
      <c r="C76" s="7">
        <f t="shared" si="19"/>
        <v>1.0309278350515464E-2</v>
      </c>
      <c r="G76" s="5">
        <f t="shared" si="17"/>
        <v>46357</v>
      </c>
      <c r="H76" s="10">
        <f>SUMIFS(Raw_Actuals[Amount_INR_Lakh],Raw_Actuals[Month],G76,Raw_Actuals[Account_Name],"Software Licenses")</f>
        <v>32</v>
      </c>
    </row>
    <row r="77" spans="1:8">
      <c r="A77" s="15">
        <f t="shared" ref="A77" si="24">EDATE(A76,1)</f>
        <v>46327</v>
      </c>
      <c r="B77" s="12">
        <f>SUMIFS(Raw_Actuals[Amount_INR_Lakh],Raw_Actuals[Month],A77,Raw_Actuals[Account_Category],"Operating Expense")</f>
        <v>397</v>
      </c>
      <c r="C77" s="7">
        <f t="shared" si="19"/>
        <v>1.2755102040816327E-2</v>
      </c>
      <c r="G77" s="5">
        <f t="shared" si="17"/>
        <v>46388</v>
      </c>
      <c r="H77" s="10">
        <f>SUMIFS(Raw_Actuals[Amount_INR_Lakh],Raw_Actuals[Month],G77,Raw_Actuals[Account_Name],"Software Licenses")</f>
        <v>33</v>
      </c>
    </row>
    <row r="78" spans="1:8">
      <c r="A78" s="14">
        <f t="shared" ref="A78" si="25">A23</f>
        <v>46357</v>
      </c>
      <c r="B78" s="12">
        <f>SUMIFS(Raw_Actuals[Amount_INR_Lakh],Raw_Actuals[Month],A78,Raw_Actuals[Account_Category],"Operating Expense")</f>
        <v>402</v>
      </c>
      <c r="C78" s="7">
        <f t="shared" si="19"/>
        <v>1.2594458438287154E-2</v>
      </c>
      <c r="G78" s="5">
        <f t="shared" si="17"/>
        <v>46419</v>
      </c>
      <c r="H78" s="10">
        <f>SUMIFS(Raw_Actuals[Amount_INR_Lakh],Raw_Actuals[Month],G78,Raw_Actuals[Account_Name],"Software Licenses")</f>
        <v>33</v>
      </c>
    </row>
    <row r="79" spans="1:8">
      <c r="A79" s="15">
        <f t="shared" ref="A79" si="26">EDATE(A78,1)</f>
        <v>46388</v>
      </c>
      <c r="B79" s="12">
        <f>SUMIFS(Raw_Actuals[Amount_INR_Lakh],Raw_Actuals[Month],A79,Raw_Actuals[Account_Category],"Operating Expense")</f>
        <v>406</v>
      </c>
      <c r="C79" s="7">
        <f t="shared" si="19"/>
        <v>9.9502487562189053E-3</v>
      </c>
      <c r="G79" s="5">
        <f t="shared" si="17"/>
        <v>46447</v>
      </c>
      <c r="H79" s="10">
        <f>SUMIFS(Raw_Actuals[Amount_INR_Lakh],Raw_Actuals[Month],G79,Raw_Actuals[Account_Name],"Software Licenses")</f>
        <v>34</v>
      </c>
    </row>
    <row r="80" spans="1:8">
      <c r="A80" s="14">
        <f>A25</f>
        <v>46419</v>
      </c>
      <c r="B80" s="12">
        <f>SUMIFS(Raw_Actuals[Amount_INR_Lakh],Raw_Actuals[Month],A80,Raw_Actuals[Account_Category],"Operating Expense")</f>
        <v>410</v>
      </c>
      <c r="C80" s="7">
        <f t="shared" si="19"/>
        <v>9.852216748768473E-3</v>
      </c>
      <c r="G80" s="5"/>
    </row>
    <row r="81" spans="1:8">
      <c r="A81" s="15">
        <f>EDATE(A80,1)</f>
        <v>46447</v>
      </c>
      <c r="B81" s="12">
        <f>SUMIFS(Raw_Actuals[Amount_INR_Lakh],Raw_Actuals[Month],A81,Raw_Actuals[Account_Category],"Operating Expense")</f>
        <v>419</v>
      </c>
      <c r="C81" s="7">
        <f t="shared" si="19"/>
        <v>2.1951219512195121E-2</v>
      </c>
      <c r="G81" s="5"/>
    </row>
    <row r="82" spans="1:8">
      <c r="G82" s="29" t="s">
        <v>0</v>
      </c>
      <c r="H82" s="18" t="s">
        <v>191</v>
      </c>
    </row>
    <row r="83" spans="1:8">
      <c r="A83" t="s">
        <v>142</v>
      </c>
      <c r="B83" s="12">
        <v>0</v>
      </c>
      <c r="G83" s="5">
        <f>A15</f>
        <v>46113</v>
      </c>
      <c r="H83">
        <f>SUMIFS(Raw_Actuals[Amount_INR_Lakh],Raw_Actuals[Month],G68,Raw_Actuals[Account_Name],"Travel and Sales Expense")</f>
        <v>18</v>
      </c>
    </row>
    <row r="84" spans="1:8">
      <c r="G84" s="5">
        <f>EDATE(G83,1)</f>
        <v>46143</v>
      </c>
      <c r="H84">
        <f>SUMIFS(Raw_Actuals[Amount_INR_Lakh],Raw_Actuals[Month],G69,Raw_Actuals[Account_Name],"Travel and Sales Expense")</f>
        <v>20</v>
      </c>
    </row>
    <row r="85" spans="1:8">
      <c r="A85" s="18" t="s">
        <v>143</v>
      </c>
      <c r="G85" s="5">
        <f t="shared" ref="G85" si="27">A17</f>
        <v>46174</v>
      </c>
      <c r="H85">
        <f>SUMIFS(Raw_Actuals[Amount_INR_Lakh],Raw_Actuals[Month],G70,Raw_Actuals[Account_Name],"Travel and Sales Expense")</f>
        <v>24</v>
      </c>
    </row>
    <row r="86" spans="1:8">
      <c r="A86" s="18" t="s">
        <v>0</v>
      </c>
      <c r="B86" s="18" t="s">
        <v>97</v>
      </c>
      <c r="C86" s="18" t="s">
        <v>141</v>
      </c>
      <c r="D86" s="18" t="s">
        <v>144</v>
      </c>
      <c r="E86" s="18" t="s">
        <v>145</v>
      </c>
      <c r="G86" s="5">
        <f t="shared" ref="G86" si="28">EDATE(G85,1)</f>
        <v>46204</v>
      </c>
      <c r="H86">
        <f>SUMIFS(Raw_Actuals[Amount_INR_Lakh],Raw_Actuals[Month],G71,Raw_Actuals[Account_Name],"Travel and Sales Expense")</f>
        <v>22</v>
      </c>
    </row>
    <row r="87" spans="1:8">
      <c r="A87" s="5">
        <f>A15</f>
        <v>46113</v>
      </c>
      <c r="B87">
        <f>SUMIFS(Raw_Actuals[Amount_INR_Lakh],Raw_Actuals[Month],A87,Raw_Actuals[Account_Category],"Revenue")</f>
        <v>650</v>
      </c>
      <c r="C87">
        <f>SUMIFS(Raw_Actuals[Amount_INR_Lakh],Raw_Actuals[Month],A87,Raw_Actuals[Account_Category],"Operating Expense")</f>
        <v>366</v>
      </c>
      <c r="D87">
        <f>B87-C87</f>
        <v>284</v>
      </c>
      <c r="E87" s="16">
        <f>D87/B87</f>
        <v>0.43692307692307691</v>
      </c>
      <c r="G87" s="5">
        <f t="shared" ref="G87" si="29">A19</f>
        <v>46235</v>
      </c>
      <c r="H87">
        <f>SUMIFS(Raw_Actuals[Amount_INR_Lakh],Raw_Actuals[Month],G72,Raw_Actuals[Account_Name],"Travel and Sales Expense")</f>
        <v>23</v>
      </c>
    </row>
    <row r="88" spans="1:8">
      <c r="A88" s="5">
        <f t="shared" ref="A88:A98" si="30">A16</f>
        <v>46143</v>
      </c>
      <c r="B88">
        <f>SUMIFS(Raw_Actuals[Amount_INR_Lakh],Raw_Actuals[Month],A88,Raw_Actuals[Account_Category],"Revenue")</f>
        <v>675</v>
      </c>
      <c r="C88">
        <f>SUMIFS(Raw_Actuals[Amount_INR_Lakh],Raw_Actuals[Month],A88,Raw_Actuals[Account_Category],"Operating Expense")</f>
        <v>370</v>
      </c>
      <c r="D88">
        <f t="shared" ref="D88:D98" si="31">B88-C88</f>
        <v>305</v>
      </c>
      <c r="E88" s="16">
        <f>D87/B87</f>
        <v>0.43692307692307691</v>
      </c>
      <c r="G88" s="5">
        <f t="shared" ref="G88" si="32">EDATE(G87,1)</f>
        <v>46266</v>
      </c>
      <c r="H88">
        <f>SUMIFS(Raw_Actuals[Amount_INR_Lakh],Raw_Actuals[Month],G73,Raw_Actuals[Account_Name],"Travel and Sales Expense")</f>
        <v>24</v>
      </c>
    </row>
    <row r="89" spans="1:8">
      <c r="A89" s="5">
        <f t="shared" si="30"/>
        <v>46174</v>
      </c>
      <c r="B89">
        <f>SUMIFS(Raw_Actuals[Amount_INR_Lakh],Raw_Actuals[Month],A89,Raw_Actuals[Account_Category],"Revenue")</f>
        <v>698</v>
      </c>
      <c r="C89">
        <f>SUMIFS(Raw_Actuals[Amount_INR_Lakh],Raw_Actuals[Month],A89,Raw_Actuals[Account_Category],"Operating Expense")</f>
        <v>381</v>
      </c>
      <c r="D89">
        <f t="shared" si="31"/>
        <v>317</v>
      </c>
      <c r="E89" s="16">
        <f t="shared" ref="E89:E98" si="33">D88/B88</f>
        <v>0.45185185185185184</v>
      </c>
      <c r="G89" s="5">
        <f t="shared" ref="G89" si="34">A21</f>
        <v>46296</v>
      </c>
      <c r="H89">
        <f>SUMIFS(Raw_Actuals[Amount_INR_Lakh],Raw_Actuals[Month],G74,Raw_Actuals[Account_Name],"Travel and Sales Expense")</f>
        <v>23</v>
      </c>
    </row>
    <row r="90" spans="1:8">
      <c r="A90" s="5">
        <f t="shared" si="30"/>
        <v>46204</v>
      </c>
      <c r="B90">
        <f>SUMIFS(Raw_Actuals[Amount_INR_Lakh],Raw_Actuals[Month],A90,Raw_Actuals[Account_Category],"Revenue")</f>
        <v>710</v>
      </c>
      <c r="C90">
        <f>SUMIFS(Raw_Actuals[Amount_INR_Lakh],Raw_Actuals[Month],A90,Raw_Actuals[Account_Category],"Operating Expense")</f>
        <v>380</v>
      </c>
      <c r="D90">
        <f t="shared" si="31"/>
        <v>330</v>
      </c>
      <c r="E90" s="16">
        <f t="shared" si="33"/>
        <v>0.45415472779369626</v>
      </c>
      <c r="G90" s="5">
        <f t="shared" ref="G90" si="35">EDATE(G89,1)</f>
        <v>46327</v>
      </c>
      <c r="H90">
        <f>SUMIFS(Raw_Actuals[Amount_INR_Lakh],Raw_Actuals[Month],G75,Raw_Actuals[Account_Name],"Travel and Sales Expense")</f>
        <v>25</v>
      </c>
    </row>
    <row r="91" spans="1:8">
      <c r="A91" s="5">
        <f t="shared" si="30"/>
        <v>46235</v>
      </c>
      <c r="B91">
        <f>SUMIFS(Raw_Actuals[Amount_INR_Lakh],Raw_Actuals[Month],A91,Raw_Actuals[Account_Category],"Revenue")</f>
        <v>727</v>
      </c>
      <c r="C91">
        <f>SUMIFS(Raw_Actuals[Amount_INR_Lakh],Raw_Actuals[Month],A91,Raw_Actuals[Account_Category],"Operating Expense")</f>
        <v>384</v>
      </c>
      <c r="D91">
        <f t="shared" si="31"/>
        <v>343</v>
      </c>
      <c r="E91" s="16">
        <f t="shared" si="33"/>
        <v>0.46478873239436619</v>
      </c>
      <c r="G91" s="5">
        <f t="shared" ref="G91" si="36">A23</f>
        <v>46357</v>
      </c>
      <c r="H91">
        <f>SUMIFS(Raw_Actuals[Amount_INR_Lakh],Raw_Actuals[Month],G76,Raw_Actuals[Account_Name],"Travel and Sales Expense")</f>
        <v>26</v>
      </c>
    </row>
    <row r="92" spans="1:8">
      <c r="A92" s="5">
        <f t="shared" si="30"/>
        <v>46266</v>
      </c>
      <c r="B92">
        <f>SUMIFS(Raw_Actuals[Amount_INR_Lakh],Raw_Actuals[Month],A92,Raw_Actuals[Account_Category],"Revenue")</f>
        <v>748</v>
      </c>
      <c r="C92">
        <f>SUMIFS(Raw_Actuals[Amount_INR_Lakh],Raw_Actuals[Month],A92,Raw_Actuals[Account_Category],"Operating Expense")</f>
        <v>388</v>
      </c>
      <c r="D92">
        <f t="shared" si="31"/>
        <v>360</v>
      </c>
      <c r="E92" s="16">
        <f t="shared" si="33"/>
        <v>0.4718019257221458</v>
      </c>
      <c r="G92" s="5">
        <f t="shared" ref="G92" si="37">EDATE(G91,1)</f>
        <v>46388</v>
      </c>
      <c r="H92">
        <f>SUMIFS(Raw_Actuals[Amount_INR_Lakh],Raw_Actuals[Month],G77,Raw_Actuals[Account_Name],"Travel and Sales Expense")</f>
        <v>25</v>
      </c>
    </row>
    <row r="93" spans="1:8">
      <c r="A93" s="5">
        <f t="shared" si="30"/>
        <v>46296</v>
      </c>
      <c r="B93">
        <f>SUMIFS(Raw_Actuals[Amount_INR_Lakh],Raw_Actuals[Month],A93,Raw_Actuals[Account_Category],"Revenue")</f>
        <v>767</v>
      </c>
      <c r="C93">
        <f>SUMIFS(Raw_Actuals[Amount_INR_Lakh],Raw_Actuals[Month],A93,Raw_Actuals[Account_Category],"Operating Expense")</f>
        <v>392</v>
      </c>
      <c r="D93">
        <f t="shared" si="31"/>
        <v>375</v>
      </c>
      <c r="E93" s="16">
        <f t="shared" si="33"/>
        <v>0.48128342245989303</v>
      </c>
      <c r="G93" s="5">
        <f t="shared" ref="G93" si="38">A25</f>
        <v>46419</v>
      </c>
      <c r="H93">
        <f>SUMIFS(Raw_Actuals[Amount_INR_Lakh],Raw_Actuals[Month],G78,Raw_Actuals[Account_Name],"Travel and Sales Expense")</f>
        <v>27</v>
      </c>
    </row>
    <row r="94" spans="1:8">
      <c r="A94" s="5">
        <f t="shared" si="30"/>
        <v>46327</v>
      </c>
      <c r="B94">
        <f>SUMIFS(Raw_Actuals[Amount_INR_Lakh],Raw_Actuals[Month],A94,Raw_Actuals[Account_Category],"Revenue")</f>
        <v>788</v>
      </c>
      <c r="C94">
        <f>SUMIFS(Raw_Actuals[Amount_INR_Lakh],Raw_Actuals[Month],A94,Raw_Actuals[Account_Category],"Operating Expense")</f>
        <v>397</v>
      </c>
      <c r="D94">
        <f t="shared" si="31"/>
        <v>391</v>
      </c>
      <c r="E94" s="16">
        <f t="shared" si="33"/>
        <v>0.48891786179921776</v>
      </c>
      <c r="G94" s="5">
        <f t="shared" ref="G94" si="39">EDATE(G93,1)</f>
        <v>46447</v>
      </c>
      <c r="H94">
        <f>SUMIFS(Raw_Actuals[Amount_INR_Lakh],Raw_Actuals[Month],G79,Raw_Actuals[Account_Name],"Travel and Sales Expense")</f>
        <v>28</v>
      </c>
    </row>
    <row r="95" spans="1:8">
      <c r="A95" s="5">
        <f t="shared" si="30"/>
        <v>46357</v>
      </c>
      <c r="B95">
        <f>SUMIFS(Raw_Actuals[Amount_INR_Lakh],Raw_Actuals[Month],A95,Raw_Actuals[Account_Category],"Revenue")</f>
        <v>810</v>
      </c>
      <c r="C95">
        <f>SUMIFS(Raw_Actuals[Amount_INR_Lakh],Raw_Actuals[Month],A95,Raw_Actuals[Account_Category],"Operating Expense")</f>
        <v>402</v>
      </c>
      <c r="D95">
        <f t="shared" si="31"/>
        <v>408</v>
      </c>
      <c r="E95" s="16">
        <f t="shared" si="33"/>
        <v>0.49619289340101524</v>
      </c>
      <c r="G95" s="5"/>
    </row>
    <row r="96" spans="1:8">
      <c r="A96" s="5">
        <f t="shared" si="30"/>
        <v>46388</v>
      </c>
      <c r="B96">
        <f>SUMIFS(Raw_Actuals[Amount_INR_Lakh],Raw_Actuals[Month],A96,Raw_Actuals[Account_Category],"Revenue")</f>
        <v>830</v>
      </c>
      <c r="C96">
        <f>SUMIFS(Raw_Actuals[Amount_INR_Lakh],Raw_Actuals[Month],A96,Raw_Actuals[Account_Category],"Operating Expense")</f>
        <v>406</v>
      </c>
      <c r="D96">
        <f t="shared" si="31"/>
        <v>424</v>
      </c>
      <c r="E96" s="16">
        <f t="shared" si="33"/>
        <v>0.50370370370370365</v>
      </c>
      <c r="G96" s="5"/>
    </row>
    <row r="97" spans="1:8">
      <c r="A97" s="5">
        <f t="shared" si="30"/>
        <v>46419</v>
      </c>
      <c r="B97">
        <f>SUMIFS(Raw_Actuals[Amount_INR_Lakh],Raw_Actuals[Month],A97,Raw_Actuals[Account_Category],"Revenue")</f>
        <v>850</v>
      </c>
      <c r="C97">
        <f>SUMIFS(Raw_Actuals[Amount_INR_Lakh],Raw_Actuals[Month],A97,Raw_Actuals[Account_Category],"Operating Expense")</f>
        <v>410</v>
      </c>
      <c r="D97">
        <f t="shared" si="31"/>
        <v>440</v>
      </c>
      <c r="E97" s="16">
        <f t="shared" si="33"/>
        <v>0.51084337349397591</v>
      </c>
      <c r="G97" s="29" t="s">
        <v>0</v>
      </c>
      <c r="H97" s="18" t="s">
        <v>192</v>
      </c>
    </row>
    <row r="98" spans="1:8">
      <c r="A98" s="5">
        <f t="shared" si="30"/>
        <v>46447</v>
      </c>
      <c r="B98">
        <f>SUMIFS(Raw_Actuals[Amount_INR_Lakh],Raw_Actuals[Month],A98,Raw_Actuals[Account_Category],"Revenue")</f>
        <v>890</v>
      </c>
      <c r="C98">
        <f>SUMIFS(Raw_Actuals[Amount_INR_Lakh],Raw_Actuals[Month],A98,Raw_Actuals[Account_Category],"Operating Expense")</f>
        <v>419</v>
      </c>
      <c r="D98">
        <f t="shared" si="31"/>
        <v>471</v>
      </c>
      <c r="E98" s="16">
        <f t="shared" si="33"/>
        <v>0.51764705882352946</v>
      </c>
      <c r="G98" s="5">
        <f>A15</f>
        <v>46113</v>
      </c>
      <c r="H98">
        <f>SUMIFS(Raw_Actuals[Amount_INR_Lakh],Raw_Actuals[Month],G98,Raw_Actuals[Account_Name],"Other Administrative Expenses")</f>
        <v>22</v>
      </c>
    </row>
    <row r="99" spans="1:8">
      <c r="A99" s="5"/>
      <c r="G99" s="5">
        <f>EDATE(G98,1)</f>
        <v>46143</v>
      </c>
      <c r="H99">
        <f>SUMIFS(Raw_Actuals[Amount_INR_Lakh],Raw_Actuals[Month],G99,Raw_Actuals[Account_Name],"Other Administrative Expenses")</f>
        <v>21</v>
      </c>
    </row>
    <row r="100" spans="1:8">
      <c r="A100" s="5" t="s">
        <v>146</v>
      </c>
      <c r="B100" s="10">
        <f>SUM(D87:D98)-B53</f>
        <v>0</v>
      </c>
      <c r="G100" s="5">
        <f t="shared" ref="G100" si="40">A17</f>
        <v>46174</v>
      </c>
      <c r="H100">
        <f>SUMIFS(Raw_Actuals[Amount_INR_Lakh],Raw_Actuals[Month],G100,Raw_Actuals[Account_Name],"Other Administrative Expenses")</f>
        <v>23</v>
      </c>
    </row>
    <row r="101" spans="1:8">
      <c r="A101" s="5"/>
      <c r="G101" s="5">
        <f t="shared" ref="G101" si="41">EDATE(G100,1)</f>
        <v>46204</v>
      </c>
      <c r="H101">
        <f>SUMIFS(Raw_Actuals[Amount_INR_Lakh],Raw_Actuals[Month],G101,Raw_Actuals[Account_Name],"Other Administrative Expenses")</f>
        <v>22</v>
      </c>
    </row>
    <row r="102" spans="1:8">
      <c r="A102" s="5"/>
      <c r="G102" s="5">
        <f t="shared" ref="G102" si="42">A19</f>
        <v>46235</v>
      </c>
      <c r="H102">
        <f>SUMIFS(Raw_Actuals[Amount_INR_Lakh],Raw_Actuals[Month],G102,Raw_Actuals[Account_Name],"Other Administrative Expenses")</f>
        <v>23</v>
      </c>
    </row>
    <row r="103" spans="1:8">
      <c r="A103" s="21" t="s">
        <v>152</v>
      </c>
      <c r="B103" s="11"/>
      <c r="G103" s="5">
        <f t="shared" ref="G103" si="43">EDATE(G102,1)</f>
        <v>46266</v>
      </c>
      <c r="H103">
        <f>SUMIFS(Raw_Actuals[Amount_INR_Lakh],Raw_Actuals[Month],G103,Raw_Actuals[Account_Name],"Other Administrative Expenses")</f>
        <v>22</v>
      </c>
    </row>
    <row r="104" spans="1:8" ht="28.8">
      <c r="A104" s="3" t="s">
        <v>153</v>
      </c>
      <c r="G104" s="5">
        <f t="shared" ref="G104" si="44">A21</f>
        <v>46296</v>
      </c>
      <c r="H104">
        <f>SUMIFS(Raw_Actuals[Amount_INR_Lakh],Raw_Actuals[Month],G104,Raw_Actuals[Account_Name],"Other Administrative Expenses")</f>
        <v>24</v>
      </c>
    </row>
    <row r="105" spans="1:8" ht="28.8">
      <c r="A105" s="3" t="s">
        <v>154</v>
      </c>
      <c r="G105" s="5">
        <f t="shared" ref="G105" si="45">EDATE(G104,1)</f>
        <v>46327</v>
      </c>
      <c r="H105">
        <f>SUMIFS(Raw_Actuals[Amount_INR_Lakh],Raw_Actuals[Month],G105,Raw_Actuals[Account_Name],"Other Administrative Expenses")</f>
        <v>23</v>
      </c>
    </row>
    <row r="106" spans="1:8" ht="28.8">
      <c r="A106" s="3" t="s">
        <v>155</v>
      </c>
      <c r="G106" s="5">
        <f t="shared" ref="G106" si="46">A23</f>
        <v>46357</v>
      </c>
      <c r="H106">
        <f>SUMIFS(Raw_Actuals[Amount_INR_Lakh],Raw_Actuals[Month],G106,Raw_Actuals[Account_Name],"Other Administrative Expenses")</f>
        <v>24</v>
      </c>
    </row>
    <row r="107" spans="1:8" ht="28.8">
      <c r="A107" s="3" t="s">
        <v>156</v>
      </c>
      <c r="G107" s="5">
        <f>A24</f>
        <v>46388</v>
      </c>
      <c r="H107">
        <f>SUMIFS(Raw_Actuals[Amount_INR_Lakh],Raw_Actuals[Month],G107,Raw_Actuals[Account_Name],"Other Administrative Expenses")</f>
        <v>25</v>
      </c>
    </row>
    <row r="108" spans="1:8" ht="43.2">
      <c r="A108" s="3" t="s">
        <v>157</v>
      </c>
      <c r="G108" s="5">
        <f>EDATE(G107,1)</f>
        <v>46419</v>
      </c>
      <c r="H108">
        <f>SUMIFS(Raw_Actuals[Amount_INR_Lakh],Raw_Actuals[Month],G108,Raw_Actuals[Account_Name],"Other Administrative Expenses")</f>
        <v>24</v>
      </c>
    </row>
    <row r="109" spans="1:8" ht="28.8">
      <c r="A109" s="3" t="s">
        <v>158</v>
      </c>
      <c r="G109" s="5">
        <f t="shared" ref="G109" si="47">A26</f>
        <v>46447</v>
      </c>
      <c r="H109">
        <f>SUMIFS(Raw_Actuals[Amount_INR_Lakh],Raw_Actuals[Month],G109,Raw_Actuals[Account_Name],"Other Administrative Expenses")</f>
        <v>26</v>
      </c>
    </row>
    <row r="110" spans="1:8">
      <c r="A110" s="12"/>
      <c r="B110" s="12"/>
      <c r="G110" s="5"/>
    </row>
    <row r="111" spans="1:8">
      <c r="A111" s="12" t="s">
        <v>178</v>
      </c>
      <c r="B111" s="4">
        <f>(B31-B32)/B32</f>
        <v>0.36923076923076925</v>
      </c>
      <c r="G111" s="5"/>
    </row>
    <row r="112" spans="1:8">
      <c r="G112" s="5"/>
    </row>
  </sheetData>
  <conditionalFormatting sqref="C71:C81">
    <cfRule type="cellIs" dxfId="0" priority="2" operator="lessThan">
      <formula>0</formula>
    </cfRule>
  </conditionalFormatting>
  <conditionalFormatting sqref="E87:E98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r:id="rId1"/>
  <ignoredErrors>
    <ignoredError sqref="A75 A77 A79 A71 A73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331A9-19F9-4C37-A990-5F42B2D68F23}">
  <dimension ref="A1:F34"/>
  <sheetViews>
    <sheetView workbookViewId="0">
      <selection activeCell="B7" sqref="B7"/>
    </sheetView>
  </sheetViews>
  <sheetFormatPr defaultRowHeight="14.4"/>
  <cols>
    <col min="1" max="1" width="34.77734375" bestFit="1" customWidth="1"/>
    <col min="4" max="4" width="43.88671875" bestFit="1" customWidth="1"/>
  </cols>
  <sheetData>
    <row r="1" spans="1:6">
      <c r="A1" s="25" t="s">
        <v>159</v>
      </c>
      <c r="B1" s="25" t="s">
        <v>139</v>
      </c>
      <c r="C1" s="25" t="s">
        <v>160</v>
      </c>
      <c r="D1" s="25" t="s">
        <v>161</v>
      </c>
      <c r="E1" s="25"/>
      <c r="F1" s="25"/>
    </row>
    <row r="2" spans="1:6">
      <c r="A2" s="25" t="s">
        <v>162</v>
      </c>
      <c r="B2" s="25">
        <v>0.12</v>
      </c>
      <c r="C2" s="25" t="s">
        <v>163</v>
      </c>
      <c r="D2" s="25" t="s">
        <v>164</v>
      </c>
      <c r="E2" s="25"/>
      <c r="F2" s="25"/>
    </row>
    <row r="3" spans="1:6">
      <c r="A3" s="25" t="s">
        <v>165</v>
      </c>
      <c r="B3" s="25">
        <v>0.1</v>
      </c>
      <c r="C3" s="25" t="s">
        <v>163</v>
      </c>
      <c r="D3" s="25" t="s">
        <v>166</v>
      </c>
      <c r="E3" s="25"/>
      <c r="F3" s="25"/>
    </row>
    <row r="4" spans="1:6">
      <c r="A4" s="25" t="s">
        <v>167</v>
      </c>
      <c r="B4" s="25">
        <v>0.06</v>
      </c>
      <c r="C4" s="25" t="s">
        <v>163</v>
      </c>
      <c r="D4" s="25" t="s">
        <v>168</v>
      </c>
      <c r="E4" s="25"/>
      <c r="F4" s="25"/>
    </row>
    <row r="5" spans="1:6">
      <c r="A5" s="25" t="s">
        <v>169</v>
      </c>
      <c r="B5" s="25">
        <v>0.08</v>
      </c>
      <c r="C5" s="25" t="s">
        <v>163</v>
      </c>
      <c r="D5" s="25" t="s">
        <v>177</v>
      </c>
      <c r="E5" s="25"/>
      <c r="F5" s="25"/>
    </row>
    <row r="6" spans="1:6">
      <c r="A6" s="25" t="s">
        <v>170</v>
      </c>
      <c r="B6" s="25">
        <v>0.15</v>
      </c>
      <c r="C6" s="25" t="s">
        <v>163</v>
      </c>
      <c r="D6" s="25" t="s">
        <v>171</v>
      </c>
      <c r="E6" s="25"/>
      <c r="F6" s="25"/>
    </row>
    <row r="7" spans="1:6">
      <c r="A7" s="25" t="s">
        <v>172</v>
      </c>
      <c r="B7" s="25">
        <v>7.0000000000000007E-2</v>
      </c>
      <c r="C7" s="25" t="s">
        <v>163</v>
      </c>
      <c r="D7" s="25" t="s">
        <v>173</v>
      </c>
      <c r="E7" s="25"/>
      <c r="F7" s="25"/>
    </row>
    <row r="8" spans="1:6">
      <c r="A8" s="25" t="s">
        <v>174</v>
      </c>
      <c r="B8" s="25">
        <v>0.25</v>
      </c>
      <c r="C8" s="25" t="s">
        <v>163</v>
      </c>
      <c r="D8" s="25" t="s">
        <v>175</v>
      </c>
      <c r="E8" s="25"/>
      <c r="F8" s="25"/>
    </row>
    <row r="9" spans="1:6">
      <c r="A9" s="12"/>
      <c r="B9" s="12"/>
    </row>
    <row r="10" spans="1:6">
      <c r="A10" s="12"/>
      <c r="B10" s="12"/>
    </row>
    <row r="11" spans="1:6">
      <c r="A11" s="12"/>
      <c r="B11" s="12"/>
    </row>
    <row r="12" spans="1:6">
      <c r="A12" s="12"/>
      <c r="B12" s="22"/>
    </row>
    <row r="13" spans="1:6">
      <c r="A13" s="12"/>
      <c r="B13" s="12"/>
    </row>
    <row r="14" spans="1:6">
      <c r="A14" s="12"/>
      <c r="B14" s="12"/>
    </row>
    <row r="15" spans="1:6">
      <c r="A15" s="12"/>
      <c r="B15" s="12"/>
    </row>
    <row r="16" spans="1:6">
      <c r="A16" s="12"/>
      <c r="B16" s="22"/>
    </row>
    <row r="17" spans="1:2">
      <c r="A17" s="12"/>
      <c r="B17" s="12"/>
    </row>
    <row r="18" spans="1:2">
      <c r="A18" s="12"/>
      <c r="B18" s="12"/>
    </row>
    <row r="19" spans="1:2">
      <c r="A19" s="12"/>
      <c r="B19" s="12"/>
    </row>
    <row r="20" spans="1:2">
      <c r="A20" s="12"/>
      <c r="B20" s="22"/>
    </row>
    <row r="21" spans="1:2">
      <c r="A21" s="12"/>
      <c r="B21" s="12"/>
    </row>
    <row r="22" spans="1:2">
      <c r="A22" s="12"/>
      <c r="B22" s="12"/>
    </row>
    <row r="23" spans="1:2">
      <c r="A23" s="12"/>
      <c r="B23" s="12"/>
    </row>
    <row r="24" spans="1:2">
      <c r="A24" s="12"/>
      <c r="B24" s="22"/>
    </row>
    <row r="25" spans="1:2">
      <c r="A25" s="12"/>
      <c r="B25" s="12"/>
    </row>
    <row r="26" spans="1:2">
      <c r="A26" s="12"/>
      <c r="B26" s="12"/>
    </row>
    <row r="27" spans="1:2">
      <c r="A27" s="12"/>
      <c r="B27" s="12"/>
    </row>
    <row r="28" spans="1:2">
      <c r="A28" s="12"/>
      <c r="B28" s="22"/>
    </row>
    <row r="29" spans="1:2">
      <c r="A29" s="12"/>
      <c r="B29" s="12"/>
    </row>
    <row r="30" spans="1:2">
      <c r="A30" s="12"/>
      <c r="B30" s="12"/>
    </row>
    <row r="31" spans="1:2">
      <c r="A31" s="12"/>
      <c r="B31" s="12"/>
    </row>
    <row r="32" spans="1:2">
      <c r="A32" s="12"/>
      <c r="B32" s="22"/>
    </row>
    <row r="33" spans="1:2">
      <c r="A33" s="12"/>
      <c r="B33" s="12"/>
    </row>
    <row r="34" spans="1:2">
      <c r="A34" s="12"/>
      <c r="B34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B961F-AE12-4E89-9EE9-0495DE1899B8}">
  <dimension ref="A1:J24"/>
  <sheetViews>
    <sheetView workbookViewId="0">
      <selection activeCell="C2" sqref="C2"/>
    </sheetView>
  </sheetViews>
  <sheetFormatPr defaultRowHeight="14.4"/>
  <cols>
    <col min="1" max="1" width="6.88671875" bestFit="1" customWidth="1"/>
    <col min="2" max="2" width="24.109375" bestFit="1" customWidth="1"/>
    <col min="3" max="3" width="25.109375" bestFit="1" customWidth="1"/>
    <col min="4" max="4" width="24.88671875" bestFit="1" customWidth="1"/>
    <col min="5" max="5" width="28" bestFit="1" customWidth="1"/>
    <col min="6" max="6" width="24.33203125" bestFit="1" customWidth="1"/>
    <col min="7" max="7" width="23.33203125" bestFit="1" customWidth="1"/>
    <col min="8" max="8" width="21.6640625" bestFit="1" customWidth="1"/>
    <col min="9" max="9" width="19" bestFit="1" customWidth="1"/>
    <col min="10" max="10" width="14.5546875" bestFit="1" customWidth="1"/>
  </cols>
  <sheetData>
    <row r="1" spans="1:10">
      <c r="A1" s="24" t="s">
        <v>0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145</v>
      </c>
    </row>
    <row r="2" spans="1:10">
      <c r="A2" s="5">
        <v>46504</v>
      </c>
      <c r="B2">
        <f>Data_Profiling!B15*(1+Budget_Assumptions!$B$2)</f>
        <v>728.00000000000011</v>
      </c>
      <c r="C2" cm="1">
        <f t="array" ref="C2">SUMPRODUCT((TEXT(Raw_Actuals[Month],"mmm-yy")=TEXT(EDATE(A2,-12),"mmm-yy"))*(Raw_Actuals[Account_Name]="Employee Cost")*Raw_Actuals[Amount_INR_Lakh])*(1+Budget_Assumptions!$B$3)</f>
        <v>275</v>
      </c>
      <c r="D2">
        <f>Data_Profiling!H53*(1+Budget_Assumptions!$B$4)</f>
        <v>50.88</v>
      </c>
      <c r="E2">
        <f>Data_Profiling!H68*(1+Budget_Assumptions!$B$5)</f>
        <v>30.240000000000002</v>
      </c>
      <c r="F2">
        <f>Data_Profiling!H83*(1+Budget_Assumptions!$B$6)</f>
        <v>20.7</v>
      </c>
      <c r="G2">
        <f>Data_Profiling!H98*(1+Budget_Assumptions!$B$7)</f>
        <v>23.540000000000003</v>
      </c>
      <c r="H2">
        <f>SUM(C2:G2)</f>
        <v>400.36</v>
      </c>
      <c r="I2">
        <f>B2-H2</f>
        <v>327.6400000000001</v>
      </c>
      <c r="J2" s="4">
        <f>I2/B2</f>
        <v>0.45005494505494514</v>
      </c>
    </row>
    <row r="3" spans="1:10">
      <c r="A3" s="5">
        <v>46534</v>
      </c>
      <c r="B3">
        <f>Data_Profiling!B16*(1+Budget_Assumptions!$B$2)</f>
        <v>756.00000000000011</v>
      </c>
      <c r="C3" cm="1">
        <f t="array" ref="C3">SUMPRODUCT((TEXT(Raw_Actuals[Month],"mmm-yy")=TEXT(EDATE(A3,-12),"mmm-yy"))*(Raw_Actuals[Account_Name]="Employee Cost")*Raw_Actuals[Amount_INR_Lakh])*(1+Budget_Assumptions!$B$3)</f>
        <v>277.20000000000005</v>
      </c>
      <c r="D3">
        <f>Data_Profiling!H54*(1+Budget_Assumptions!$B$4)</f>
        <v>50.88</v>
      </c>
      <c r="E3">
        <f>Data_Profiling!H69*(1+Budget_Assumptions!$B$5)</f>
        <v>31.32</v>
      </c>
      <c r="F3">
        <f>Data_Profiling!H84*(1+Budget_Assumptions!$B$6)</f>
        <v>23</v>
      </c>
      <c r="G3">
        <f>Data_Profiling!H99*(1+Budget_Assumptions!$B$7)</f>
        <v>22.470000000000002</v>
      </c>
      <c r="H3">
        <f t="shared" ref="H3:H13" si="0">SUM(C3:G3)</f>
        <v>404.87000000000006</v>
      </c>
      <c r="I3">
        <f t="shared" ref="I3:I13" si="1">B3-H3</f>
        <v>351.13000000000005</v>
      </c>
      <c r="J3" s="4">
        <f t="shared" ref="J3:J13" si="2">I3/B3</f>
        <v>0.46445767195767196</v>
      </c>
    </row>
    <row r="4" spans="1:10">
      <c r="A4" s="5">
        <v>46565</v>
      </c>
      <c r="B4">
        <f>Data_Profiling!B17*(1+Budget_Assumptions!$B$2)</f>
        <v>781.7600000000001</v>
      </c>
      <c r="C4" cm="1">
        <f t="array" ref="C4">SUMPRODUCT((TEXT(Raw_Actuals[Month],"mmm-yy")=TEXT(EDATE(A4,-12),"mmm-yy"))*(Raw_Actuals[Account_Name]="Employee Cost")*Raw_Actuals[Amount_INR_Lakh])*(1+Budget_Assumptions!$B$3)</f>
        <v>280.5</v>
      </c>
      <c r="D4">
        <f>Data_Profiling!H55*(1+Budget_Assumptions!$B$4)</f>
        <v>50.88</v>
      </c>
      <c r="E4">
        <f>Data_Profiling!H70*(1+Budget_Assumptions!$B$5)</f>
        <v>33.480000000000004</v>
      </c>
      <c r="F4">
        <f>Data_Profiling!H85*(1+Budget_Assumptions!$B$6)</f>
        <v>27.599999999999998</v>
      </c>
      <c r="G4">
        <f>Data_Profiling!H100*(1+Budget_Assumptions!$B$7)</f>
        <v>24.610000000000003</v>
      </c>
      <c r="H4">
        <f t="shared" si="0"/>
        <v>417.07000000000005</v>
      </c>
      <c r="I4">
        <f t="shared" si="1"/>
        <v>364.69000000000005</v>
      </c>
      <c r="J4" s="4">
        <f t="shared" si="2"/>
        <v>0.46649866966844045</v>
      </c>
    </row>
    <row r="5" spans="1:10">
      <c r="A5" s="5">
        <v>46595</v>
      </c>
      <c r="B5">
        <f>Data_Profiling!B18*(1+Budget_Assumptions!$B$2)</f>
        <v>795.2</v>
      </c>
      <c r="C5" cm="1">
        <f t="array" ref="C5">SUMPRODUCT((TEXT(Raw_Actuals[Month],"mmm-yy")=TEXT(EDATE(A5,-12),"mmm-yy"))*(Raw_Actuals[Account_Name]="Employee Cost")*Raw_Actuals[Amount_INR_Lakh])*(1+Budget_Assumptions!$B$3)</f>
        <v>283.8</v>
      </c>
      <c r="D5">
        <f>Data_Profiling!H56*(1+Budget_Assumptions!$B$4)</f>
        <v>50.88</v>
      </c>
      <c r="E5">
        <f>Data_Profiling!H71*(1+Budget_Assumptions!$B$5)</f>
        <v>32.400000000000006</v>
      </c>
      <c r="F5">
        <f>Data_Profiling!H86*(1+Budget_Assumptions!$B$6)</f>
        <v>25.299999999999997</v>
      </c>
      <c r="G5">
        <f>Data_Profiling!H101*(1+Budget_Assumptions!$B$7)</f>
        <v>23.540000000000003</v>
      </c>
      <c r="H5">
        <f t="shared" si="0"/>
        <v>415.92000000000007</v>
      </c>
      <c r="I5">
        <f t="shared" si="1"/>
        <v>379.28</v>
      </c>
      <c r="J5" s="4">
        <f t="shared" si="2"/>
        <v>0.4769617706237424</v>
      </c>
    </row>
    <row r="6" spans="1:10">
      <c r="A6" s="5">
        <v>46626</v>
      </c>
      <c r="B6">
        <f>Data_Profiling!B19*(1+Budget_Assumptions!$B$2)</f>
        <v>814.24000000000012</v>
      </c>
      <c r="C6" cm="1">
        <f t="array" ref="C6">SUMPRODUCT((TEXT(Raw_Actuals[Month],"mmm-yy")=TEXT(EDATE(A6,-12),"mmm-yy"))*(Raw_Actuals[Account_Name]="Employee Cost")*Raw_Actuals[Amount_INR_Lakh])*(1+Budget_Assumptions!$B$3)</f>
        <v>286</v>
      </c>
      <c r="D6">
        <f>Data_Profiling!H57*(1+Budget_Assumptions!$B$4)</f>
        <v>50.88</v>
      </c>
      <c r="E6">
        <f>Data_Profiling!H72*(1+Budget_Assumptions!$B$5)</f>
        <v>32.400000000000006</v>
      </c>
      <c r="F6">
        <f>Data_Profiling!H87*(1+Budget_Assumptions!$B$6)</f>
        <v>26.45</v>
      </c>
      <c r="G6">
        <f>Data_Profiling!H102*(1+Budget_Assumptions!$B$7)</f>
        <v>24.610000000000003</v>
      </c>
      <c r="H6">
        <f t="shared" si="0"/>
        <v>420.34</v>
      </c>
      <c r="I6">
        <f t="shared" si="1"/>
        <v>393.90000000000015</v>
      </c>
      <c r="J6" s="4">
        <f t="shared" si="2"/>
        <v>0.48376400078600917</v>
      </c>
    </row>
    <row r="7" spans="1:10">
      <c r="A7" s="5">
        <v>46657</v>
      </c>
      <c r="B7">
        <f>Data_Profiling!B20*(1+Budget_Assumptions!$B$2)</f>
        <v>837.7600000000001</v>
      </c>
      <c r="C7" cm="1">
        <f t="array" ref="C7">SUMPRODUCT((TEXT(Raw_Actuals[Month],"mmm-yy")=TEXT(EDATE(A7,-12),"mmm-yy"))*(Raw_Actuals[Account_Name]="Employee Cost")*Raw_Actuals[Amount_INR_Lakh])*(1+Budget_Assumptions!$B$3)</f>
        <v>288.20000000000005</v>
      </c>
      <c r="D7">
        <f>Data_Profiling!H58*(1+Budget_Assumptions!$B$4)</f>
        <v>51.940000000000005</v>
      </c>
      <c r="E7">
        <f>Data_Profiling!H73*(1+Budget_Assumptions!$B$5)</f>
        <v>33.480000000000004</v>
      </c>
      <c r="F7">
        <f>Data_Profiling!H88*(1+Budget_Assumptions!$B$6)</f>
        <v>27.599999999999998</v>
      </c>
      <c r="G7">
        <f>Data_Profiling!H103*(1+Budget_Assumptions!$B$7)</f>
        <v>23.540000000000003</v>
      </c>
      <c r="H7">
        <f t="shared" si="0"/>
        <v>424.7600000000001</v>
      </c>
      <c r="I7">
        <f t="shared" si="1"/>
        <v>413</v>
      </c>
      <c r="J7" s="4">
        <f t="shared" si="2"/>
        <v>0.49298128342245984</v>
      </c>
    </row>
    <row r="8" spans="1:10">
      <c r="A8" s="5">
        <v>46687</v>
      </c>
      <c r="B8">
        <f>Data_Profiling!B21*(1+Budget_Assumptions!$B$2)</f>
        <v>859.04000000000008</v>
      </c>
      <c r="C8" cm="1">
        <f t="array" ref="C8">SUMPRODUCT((TEXT(Raw_Actuals[Month],"mmm-yy")=TEXT(EDATE(A8,-12),"mmm-yy"))*(Raw_Actuals[Account_Name]="Employee Cost")*Raw_Actuals[Amount_INR_Lakh])*(1+Budget_Assumptions!$B$3)</f>
        <v>291.5</v>
      </c>
      <c r="D8">
        <f>Data_Profiling!H59*(1+Budget_Assumptions!$B$4)</f>
        <v>51.940000000000005</v>
      </c>
      <c r="E8">
        <f>Data_Profiling!H74*(1+Budget_Assumptions!$B$5)</f>
        <v>33.480000000000004</v>
      </c>
      <c r="F8">
        <f>Data_Profiling!H89*(1+Budget_Assumptions!$B$6)</f>
        <v>26.45</v>
      </c>
      <c r="G8">
        <f>Data_Profiling!H104*(1+Budget_Assumptions!$B$7)</f>
        <v>25.68</v>
      </c>
      <c r="H8">
        <f t="shared" si="0"/>
        <v>429.05</v>
      </c>
      <c r="I8">
        <f t="shared" si="1"/>
        <v>429.99000000000007</v>
      </c>
      <c r="J8" s="4">
        <f t="shared" si="2"/>
        <v>0.50054712236915633</v>
      </c>
    </row>
    <row r="9" spans="1:10">
      <c r="A9" s="5">
        <v>46718</v>
      </c>
      <c r="B9">
        <f>Data_Profiling!B22*(1+Budget_Assumptions!$B$2)</f>
        <v>882.56000000000006</v>
      </c>
      <c r="C9" cm="1">
        <f t="array" ref="C9">SUMPRODUCT((TEXT(Raw_Actuals[Month],"mmm-yy")=TEXT(EDATE(A9,-12),"mmm-yy"))*(Raw_Actuals[Account_Name]="Employee Cost")*Raw_Actuals[Amount_INR_Lakh])*(1+Budget_Assumptions!$B$3)</f>
        <v>294.8</v>
      </c>
      <c r="D9">
        <f>Data_Profiling!H60*(1+Budget_Assumptions!$B$4)</f>
        <v>51.940000000000005</v>
      </c>
      <c r="E9">
        <f>Data_Profiling!H75*(1+Budget_Assumptions!$B$5)</f>
        <v>34.56</v>
      </c>
      <c r="F9">
        <f>Data_Profiling!H90*(1+Budget_Assumptions!$B$6)</f>
        <v>28.749999999999996</v>
      </c>
      <c r="G9">
        <f>Data_Profiling!H105*(1+Budget_Assumptions!$B$7)</f>
        <v>24.610000000000003</v>
      </c>
      <c r="H9">
        <f t="shared" si="0"/>
        <v>434.66</v>
      </c>
      <c r="I9">
        <f t="shared" si="1"/>
        <v>447.90000000000003</v>
      </c>
      <c r="J9" s="4">
        <f t="shared" si="2"/>
        <v>0.50750090645395218</v>
      </c>
    </row>
    <row r="10" spans="1:10">
      <c r="A10" s="5">
        <v>46748</v>
      </c>
      <c r="B10">
        <f>Data_Profiling!B23*(1+Budget_Assumptions!$B$2)</f>
        <v>907.2</v>
      </c>
      <c r="C10" cm="1">
        <f t="array" ref="C10">SUMPRODUCT((TEXT(Raw_Actuals[Month],"mmm-yy")=TEXT(EDATE(A10,-12),"mmm-yy"))*(Raw_Actuals[Account_Name]="Employee Cost")*Raw_Actuals[Amount_INR_Lakh])*(1+Budget_Assumptions!$B$3)</f>
        <v>297</v>
      </c>
      <c r="D10">
        <f>Data_Profiling!H61*(1+Budget_Assumptions!$B$4)</f>
        <v>53</v>
      </c>
      <c r="E10">
        <f>Data_Profiling!H76*(1+Budget_Assumptions!$B$5)</f>
        <v>34.56</v>
      </c>
      <c r="F10">
        <f>Data_Profiling!H91*(1+Budget_Assumptions!$B$6)</f>
        <v>29.9</v>
      </c>
      <c r="G10">
        <f>Data_Profiling!H106*(1+Budget_Assumptions!$B$7)</f>
        <v>25.68</v>
      </c>
      <c r="H10">
        <f t="shared" si="0"/>
        <v>440.14</v>
      </c>
      <c r="I10">
        <f t="shared" si="1"/>
        <v>467.06000000000006</v>
      </c>
      <c r="J10" s="4">
        <f t="shared" si="2"/>
        <v>0.51483686067019407</v>
      </c>
    </row>
    <row r="11" spans="1:10">
      <c r="A11" s="27">
        <v>46780</v>
      </c>
      <c r="B11">
        <f>Data_Profiling!B24*(1+Budget_Assumptions!$B$2)</f>
        <v>929.60000000000014</v>
      </c>
      <c r="C11" cm="1">
        <f t="array" ref="C11">SUMPRODUCT((TEXT(Raw_Actuals[Month],"mmm-yy")=TEXT(EDATE(A11,-12),"mmm-yy"))*(Raw_Actuals[Account_Name]="Employee Cost")*Raw_Actuals[Amount_INR_Lakh])*(1+Budget_Assumptions!$B$3)</f>
        <v>300.3</v>
      </c>
      <c r="D11">
        <f>Data_Profiling!H62*(1+Budget_Assumptions!$B$4)</f>
        <v>53</v>
      </c>
      <c r="E11">
        <f>Data_Profiling!H77*(1+Budget_Assumptions!$B$5)</f>
        <v>35.64</v>
      </c>
      <c r="F11">
        <f>Data_Profiling!H92*(1+Budget_Assumptions!$B$6)</f>
        <v>28.749999999999996</v>
      </c>
      <c r="G11">
        <f>Data_Profiling!H107*(1+Budget_Assumptions!$B$7)</f>
        <v>26.75</v>
      </c>
      <c r="H11">
        <f t="shared" si="0"/>
        <v>444.44</v>
      </c>
      <c r="I11">
        <f t="shared" si="1"/>
        <v>485.16000000000014</v>
      </c>
      <c r="J11" s="4">
        <f t="shared" si="2"/>
        <v>0.52190189328743553</v>
      </c>
    </row>
    <row r="12" spans="1:10">
      <c r="A12" s="5">
        <v>46811</v>
      </c>
      <c r="B12">
        <f>Data_Profiling!B25*(1+Budget_Assumptions!$B$2)</f>
        <v>952.00000000000011</v>
      </c>
      <c r="C12" cm="1">
        <f t="array" ref="C12">SUMPRODUCT((TEXT(Raw_Actuals[Month],"mmm-yy")=TEXT(EDATE(A12,-12),"mmm-yy"))*(Raw_Actuals[Account_Name]="Employee Cost")*Raw_Actuals[Amount_INR_Lakh])*(1+Budget_Assumptions!$B$3)</f>
        <v>303.60000000000002</v>
      </c>
      <c r="D12">
        <f>Data_Profiling!H63*(1+Budget_Assumptions!$B$4)</f>
        <v>53</v>
      </c>
      <c r="E12">
        <f>Data_Profiling!H78*(1+Budget_Assumptions!$B$5)</f>
        <v>35.64</v>
      </c>
      <c r="F12">
        <f>Data_Profiling!H93*(1+Budget_Assumptions!$B$6)</f>
        <v>31.049999999999997</v>
      </c>
      <c r="G12">
        <f>Data_Profiling!H108*(1+Budget_Assumptions!$B$7)</f>
        <v>25.68</v>
      </c>
      <c r="H12">
        <f t="shared" si="0"/>
        <v>448.97</v>
      </c>
      <c r="I12">
        <f t="shared" si="1"/>
        <v>503.03000000000009</v>
      </c>
      <c r="J12" s="4">
        <f t="shared" si="2"/>
        <v>0.52839285714285722</v>
      </c>
    </row>
    <row r="13" spans="1:10">
      <c r="A13" s="5">
        <v>46840</v>
      </c>
      <c r="B13">
        <f>Data_Profiling!B26*(1+Budget_Assumptions!$B$2)</f>
        <v>996.80000000000007</v>
      </c>
      <c r="C13" cm="1">
        <f t="array" ref="C13">SUMPRODUCT((TEXT(Raw_Actuals[Month],"mmm-yy")=TEXT(EDATE(A13,-12),"mmm-yy"))*(Raw_Actuals[Account_Name]="Employee Cost")*Raw_Actuals[Amount_INR_Lakh])*(1+Budget_Assumptions!$B$3)</f>
        <v>308</v>
      </c>
      <c r="D13">
        <f>Data_Profiling!H64*(1+Budget_Assumptions!$B$4)</f>
        <v>54.06</v>
      </c>
      <c r="E13">
        <f>Data_Profiling!H79*(1+Budget_Assumptions!$B$5)</f>
        <v>36.72</v>
      </c>
      <c r="F13">
        <f>Data_Profiling!H94*(1+Budget_Assumptions!$B$6)</f>
        <v>32.199999999999996</v>
      </c>
      <c r="G13">
        <f>Data_Profiling!H109*(1+Budget_Assumptions!$B$7)</f>
        <v>27.82</v>
      </c>
      <c r="H13">
        <f t="shared" si="0"/>
        <v>458.79999999999995</v>
      </c>
      <c r="I13">
        <f t="shared" si="1"/>
        <v>538.00000000000011</v>
      </c>
      <c r="J13" s="4">
        <f t="shared" si="2"/>
        <v>0.53972712680577861</v>
      </c>
    </row>
    <row r="14" spans="1:10">
      <c r="A14" s="26"/>
    </row>
    <row r="15" spans="1:10">
      <c r="A15" s="26"/>
      <c r="B15" s="12" t="s">
        <v>193</v>
      </c>
      <c r="C15" s="11"/>
    </row>
    <row r="16" spans="1:10">
      <c r="A16" s="26"/>
      <c r="B16" s="12" t="s">
        <v>194</v>
      </c>
      <c r="C16" s="30">
        <f>SUM(B2:B13)</f>
        <v>10240.16</v>
      </c>
    </row>
    <row r="17" spans="1:3">
      <c r="A17" s="26"/>
      <c r="B17" s="12" t="s">
        <v>195</v>
      </c>
      <c r="C17" s="30">
        <f>SUM(H2:H13)</f>
        <v>5139.380000000001</v>
      </c>
    </row>
    <row r="18" spans="1:3">
      <c r="A18" s="26"/>
      <c r="B18" s="12" t="s">
        <v>196</v>
      </c>
      <c r="C18" s="30">
        <f>SUM(I2:I13)</f>
        <v>5100.7800000000007</v>
      </c>
    </row>
    <row r="19" spans="1:3">
      <c r="A19" s="26"/>
      <c r="B19" s="12" t="s">
        <v>122</v>
      </c>
      <c r="C19" s="31">
        <f>5131.02/10240.16</f>
        <v>0.50106834268214562</v>
      </c>
    </row>
    <row r="20" spans="1:3">
      <c r="A20" s="26"/>
      <c r="B20" s="12"/>
      <c r="C20" s="12"/>
    </row>
    <row r="21" spans="1:3">
      <c r="A21" s="26"/>
      <c r="B21" t="s">
        <v>213</v>
      </c>
      <c r="C21">
        <f>SUM(B2:B13)-10240.16</f>
        <v>0</v>
      </c>
    </row>
    <row r="22" spans="1:3" ht="28.8">
      <c r="B22" s="12" t="s">
        <v>214</v>
      </c>
      <c r="C22">
        <f>SUM(H2:H13)-5139.38</f>
        <v>0</v>
      </c>
    </row>
    <row r="23" spans="1:3" ht="28.8">
      <c r="B23" s="12" t="s">
        <v>215</v>
      </c>
      <c r="C23" s="10">
        <f>SUM(I2:I13)-C18</f>
        <v>0</v>
      </c>
    </row>
    <row r="24" spans="1:3" ht="28.8">
      <c r="B24" s="12" t="s">
        <v>216</v>
      </c>
      <c r="C24" s="32">
        <f>SUM(I2:I13)/SUM(B2:B13)-C19</f>
        <v>-2.9530788581427769E-3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8A9B4-3ACD-47A9-B431-A2E0C6345C60}">
  <dimension ref="A1:I27"/>
  <sheetViews>
    <sheetView workbookViewId="0">
      <selection activeCell="G10" sqref="G10"/>
    </sheetView>
  </sheetViews>
  <sheetFormatPr defaultRowHeight="14.4"/>
  <cols>
    <col min="1" max="1" width="6.88671875" bestFit="1" customWidth="1"/>
    <col min="2" max="2" width="19.6640625" bestFit="1" customWidth="1"/>
    <col min="3" max="3" width="24.6640625" bestFit="1" customWidth="1"/>
    <col min="4" max="4" width="21.88671875" bestFit="1" customWidth="1"/>
    <col min="5" max="5" width="21.109375" bestFit="1" customWidth="1"/>
    <col min="6" max="6" width="18.5546875" bestFit="1" customWidth="1"/>
    <col min="8" max="8" width="22.6640625" bestFit="1" customWidth="1"/>
    <col min="9" max="9" width="24.33203125" bestFit="1" customWidth="1"/>
  </cols>
  <sheetData>
    <row r="1" spans="1:9" ht="18.600000000000001" customHeight="1">
      <c r="A1" s="12" t="s">
        <v>0</v>
      </c>
      <c r="B1" s="12" t="s">
        <v>197</v>
      </c>
      <c r="C1" s="12" t="s">
        <v>217</v>
      </c>
      <c r="D1" s="12" t="s">
        <v>218</v>
      </c>
      <c r="E1" s="12" t="s">
        <v>219</v>
      </c>
      <c r="F1" s="12" t="s">
        <v>204</v>
      </c>
      <c r="H1" t="s">
        <v>225</v>
      </c>
      <c r="I1" t="s">
        <v>226</v>
      </c>
    </row>
    <row r="2" spans="1:9">
      <c r="A2" s="34">
        <v>46504</v>
      </c>
      <c r="B2" s="23">
        <v>735</v>
      </c>
      <c r="C2">
        <v>278</v>
      </c>
      <c r="D2">
        <v>245</v>
      </c>
      <c r="E2">
        <f>SUM(C2:D2)</f>
        <v>523</v>
      </c>
      <c r="F2">
        <f>B2-E2</f>
        <v>212</v>
      </c>
      <c r="H2">
        <f>C2+D2-E2</f>
        <v>0</v>
      </c>
      <c r="I2">
        <f>B2-E2-F2</f>
        <v>0</v>
      </c>
    </row>
    <row r="3" spans="1:9">
      <c r="A3" s="34">
        <v>46534</v>
      </c>
      <c r="B3" s="23">
        <v>765</v>
      </c>
      <c r="C3" s="35">
        <v>285</v>
      </c>
      <c r="D3">
        <f>E3-C3</f>
        <v>132</v>
      </c>
      <c r="E3" s="35">
        <v>417</v>
      </c>
      <c r="F3">
        <f t="shared" ref="F3:F13" si="0">B3-E3</f>
        <v>348</v>
      </c>
      <c r="H3">
        <f t="shared" ref="H3:H13" si="1">C3+D3-E3</f>
        <v>0</v>
      </c>
      <c r="I3">
        <f t="shared" ref="I3:I13" si="2">B3-E3-F3</f>
        <v>0</v>
      </c>
    </row>
    <row r="4" spans="1:9">
      <c r="A4" s="34">
        <v>46565</v>
      </c>
      <c r="B4" s="23">
        <v>770</v>
      </c>
      <c r="C4" s="35">
        <v>290</v>
      </c>
      <c r="D4">
        <f t="shared" ref="D4:D13" si="3">E4-C4</f>
        <v>130</v>
      </c>
      <c r="E4" s="35">
        <v>420</v>
      </c>
      <c r="F4">
        <f t="shared" si="0"/>
        <v>350</v>
      </c>
      <c r="H4">
        <f t="shared" si="1"/>
        <v>0</v>
      </c>
      <c r="I4">
        <f t="shared" si="2"/>
        <v>0</v>
      </c>
    </row>
    <row r="5" spans="1:9">
      <c r="A5" s="34">
        <v>46595</v>
      </c>
      <c r="B5" s="23">
        <v>810</v>
      </c>
      <c r="C5" s="35">
        <v>294</v>
      </c>
      <c r="D5">
        <f t="shared" si="3"/>
        <v>131</v>
      </c>
      <c r="E5" s="35">
        <v>425</v>
      </c>
      <c r="F5">
        <f t="shared" si="0"/>
        <v>385</v>
      </c>
      <c r="H5">
        <f t="shared" si="1"/>
        <v>0</v>
      </c>
      <c r="I5">
        <f t="shared" si="2"/>
        <v>0</v>
      </c>
    </row>
    <row r="6" spans="1:9">
      <c r="A6" s="34">
        <v>46626</v>
      </c>
      <c r="B6" s="23">
        <v>800</v>
      </c>
      <c r="C6" s="35">
        <v>300</v>
      </c>
      <c r="D6">
        <f t="shared" si="3"/>
        <v>135</v>
      </c>
      <c r="E6" s="35">
        <v>435</v>
      </c>
      <c r="F6">
        <f t="shared" si="0"/>
        <v>365</v>
      </c>
      <c r="H6">
        <f t="shared" si="1"/>
        <v>0</v>
      </c>
      <c r="I6">
        <f t="shared" si="2"/>
        <v>0</v>
      </c>
    </row>
    <row r="7" spans="1:9">
      <c r="A7" s="34">
        <v>46657</v>
      </c>
      <c r="B7" s="23">
        <v>855</v>
      </c>
      <c r="C7" s="35">
        <v>305</v>
      </c>
      <c r="D7">
        <f t="shared" si="3"/>
        <v>134</v>
      </c>
      <c r="E7" s="35">
        <v>439</v>
      </c>
      <c r="F7">
        <f t="shared" si="0"/>
        <v>416</v>
      </c>
      <c r="H7">
        <f t="shared" si="1"/>
        <v>0</v>
      </c>
      <c r="I7">
        <f t="shared" si="2"/>
        <v>0</v>
      </c>
    </row>
    <row r="8" spans="1:9">
      <c r="A8" s="34">
        <v>46687</v>
      </c>
      <c r="B8" s="23">
        <v>845</v>
      </c>
      <c r="C8" s="35">
        <v>310</v>
      </c>
      <c r="D8">
        <f t="shared" si="3"/>
        <v>138</v>
      </c>
      <c r="E8" s="35">
        <v>448</v>
      </c>
      <c r="F8">
        <f t="shared" si="0"/>
        <v>397</v>
      </c>
      <c r="H8">
        <f t="shared" si="1"/>
        <v>0</v>
      </c>
      <c r="I8">
        <f t="shared" si="2"/>
        <v>0</v>
      </c>
    </row>
    <row r="9" spans="1:9">
      <c r="A9" s="34">
        <v>46718</v>
      </c>
      <c r="B9" s="23">
        <v>900</v>
      </c>
      <c r="C9" s="35">
        <v>315</v>
      </c>
      <c r="D9">
        <f t="shared" si="3"/>
        <v>140</v>
      </c>
      <c r="E9" s="35">
        <v>455</v>
      </c>
      <c r="F9">
        <f t="shared" si="0"/>
        <v>445</v>
      </c>
      <c r="H9">
        <f t="shared" si="1"/>
        <v>0</v>
      </c>
      <c r="I9">
        <f t="shared" si="2"/>
        <v>0</v>
      </c>
    </row>
    <row r="10" spans="1:9">
      <c r="A10" s="34">
        <v>46748</v>
      </c>
      <c r="B10" s="23">
        <v>925</v>
      </c>
      <c r="C10" s="35">
        <v>320</v>
      </c>
      <c r="D10">
        <f t="shared" si="3"/>
        <v>150</v>
      </c>
      <c r="E10" s="35">
        <v>470</v>
      </c>
      <c r="F10">
        <f t="shared" si="0"/>
        <v>455</v>
      </c>
      <c r="H10">
        <f t="shared" si="1"/>
        <v>0</v>
      </c>
      <c r="I10">
        <f t="shared" si="2"/>
        <v>0</v>
      </c>
    </row>
    <row r="11" spans="1:9">
      <c r="A11" s="34">
        <v>46779</v>
      </c>
      <c r="B11" s="23">
        <v>915</v>
      </c>
      <c r="C11" s="35">
        <v>325</v>
      </c>
      <c r="D11">
        <f t="shared" si="3"/>
        <v>143</v>
      </c>
      <c r="E11" s="35">
        <v>468</v>
      </c>
      <c r="F11">
        <f t="shared" si="0"/>
        <v>447</v>
      </c>
      <c r="H11">
        <f t="shared" si="1"/>
        <v>0</v>
      </c>
      <c r="I11">
        <f t="shared" si="2"/>
        <v>0</v>
      </c>
    </row>
    <row r="12" spans="1:9">
      <c r="A12" s="34">
        <v>46810</v>
      </c>
      <c r="B12" s="23">
        <v>970</v>
      </c>
      <c r="C12" s="35">
        <v>330</v>
      </c>
      <c r="D12">
        <f t="shared" si="3"/>
        <v>150</v>
      </c>
      <c r="E12" s="35">
        <v>480</v>
      </c>
      <c r="F12">
        <f t="shared" si="0"/>
        <v>490</v>
      </c>
      <c r="H12">
        <f t="shared" si="1"/>
        <v>0</v>
      </c>
      <c r="I12">
        <f t="shared" si="2"/>
        <v>0</v>
      </c>
    </row>
    <row r="13" spans="1:9">
      <c r="A13" s="34">
        <v>46839</v>
      </c>
      <c r="B13" s="38">
        <v>1020</v>
      </c>
      <c r="C13" s="35">
        <v>338</v>
      </c>
      <c r="D13">
        <f t="shared" si="3"/>
        <v>152</v>
      </c>
      <c r="E13" s="35">
        <v>490</v>
      </c>
      <c r="F13">
        <f t="shared" si="0"/>
        <v>530</v>
      </c>
      <c r="H13">
        <f t="shared" si="1"/>
        <v>0</v>
      </c>
      <c r="I13">
        <f t="shared" si="2"/>
        <v>0</v>
      </c>
    </row>
    <row r="14" spans="1:9">
      <c r="A14" s="34"/>
      <c r="B14" s="39"/>
      <c r="I14" s="8"/>
    </row>
    <row r="15" spans="1:9">
      <c r="A15" s="23"/>
      <c r="B15" s="36"/>
      <c r="I15" s="8"/>
    </row>
    <row r="16" spans="1:9">
      <c r="A16" s="33"/>
      <c r="B16" s="35"/>
    </row>
    <row r="17" spans="1:2">
      <c r="A17" s="33"/>
      <c r="B17" s="36"/>
    </row>
    <row r="18" spans="1:2">
      <c r="A18" s="33"/>
      <c r="B18" s="36"/>
    </row>
    <row r="19" spans="1:2">
      <c r="A19" s="33"/>
      <c r="B19" s="36"/>
    </row>
    <row r="20" spans="1:2">
      <c r="A20" s="33"/>
      <c r="B20" s="36"/>
    </row>
    <row r="21" spans="1:2">
      <c r="A21" s="33"/>
      <c r="B21" s="36"/>
    </row>
    <row r="22" spans="1:2">
      <c r="A22" s="33"/>
      <c r="B22" s="36"/>
    </row>
    <row r="23" spans="1:2">
      <c r="A23" s="33"/>
      <c r="B23" s="36"/>
    </row>
    <row r="24" spans="1:2">
      <c r="A24" s="33"/>
      <c r="B24" s="36"/>
    </row>
    <row r="25" spans="1:2">
      <c r="A25" s="33"/>
      <c r="B25" s="36"/>
    </row>
    <row r="26" spans="1:2">
      <c r="A26" s="33"/>
      <c r="B26" s="36"/>
    </row>
    <row r="27" spans="1:2">
      <c r="A27" s="33"/>
      <c r="B27" s="36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61BF6-A5A9-4F11-A1D1-FF8D60415FDC}">
  <dimension ref="A1:U61"/>
  <sheetViews>
    <sheetView workbookViewId="0">
      <selection activeCell="E2" sqref="E2"/>
    </sheetView>
  </sheetViews>
  <sheetFormatPr defaultRowHeight="14.4"/>
  <cols>
    <col min="1" max="1" width="6.88671875" bestFit="1" customWidth="1"/>
    <col min="2" max="2" width="19.6640625" bestFit="1" customWidth="1"/>
    <col min="3" max="3" width="20.109375" bestFit="1" customWidth="1"/>
    <col min="4" max="4" width="21.88671875" bestFit="1" customWidth="1"/>
    <col min="5" max="5" width="17.5546875" bestFit="1" customWidth="1"/>
    <col min="6" max="6" width="16.77734375" bestFit="1" customWidth="1"/>
    <col min="7" max="7" width="17.33203125" bestFit="1" customWidth="1"/>
    <col min="8" max="8" width="19" bestFit="1" customWidth="1"/>
    <col min="9" max="9" width="14.6640625" bestFit="1" customWidth="1"/>
    <col min="10" max="10" width="18.5546875" bestFit="1" customWidth="1"/>
    <col min="11" max="11" width="19" bestFit="1" customWidth="1"/>
    <col min="12" max="12" width="20.6640625" bestFit="1" customWidth="1"/>
    <col min="13" max="13" width="16.33203125" bestFit="1" customWidth="1"/>
    <col min="15" max="15" width="19.5546875" bestFit="1" customWidth="1"/>
    <col min="16" max="16" width="12.21875" bestFit="1" customWidth="1"/>
    <col min="17" max="17" width="12.6640625" bestFit="1" customWidth="1"/>
    <col min="18" max="18" width="15.21875" bestFit="1" customWidth="1"/>
  </cols>
  <sheetData>
    <row r="1" spans="1:21">
      <c r="A1" t="s">
        <v>0</v>
      </c>
      <c r="B1" t="s">
        <v>197</v>
      </c>
      <c r="C1" t="s">
        <v>179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  <c r="K1" t="s">
        <v>186</v>
      </c>
      <c r="L1" t="s">
        <v>205</v>
      </c>
      <c r="M1" t="s">
        <v>206</v>
      </c>
      <c r="O1" t="s">
        <v>207</v>
      </c>
      <c r="P1" t="s">
        <v>139</v>
      </c>
    </row>
    <row r="2" spans="1:21">
      <c r="A2" s="5">
        <f>FY2027_Actuals!A2</f>
        <v>46504</v>
      </c>
      <c r="B2">
        <f>FY2027_Actuals!B2</f>
        <v>735</v>
      </c>
      <c r="C2">
        <f>FY2027_Budget!B2</f>
        <v>728.00000000000011</v>
      </c>
      <c r="D2">
        <f>IF(B2="","",B2-C2)</f>
        <v>6.9999999999998863</v>
      </c>
      <c r="E2" s="4">
        <f>IF(B2="","",D2/C2)</f>
        <v>9.6153846153844581E-3</v>
      </c>
      <c r="F2">
        <v>523</v>
      </c>
      <c r="G2">
        <f>FY2027_Budget!H2</f>
        <v>400.36</v>
      </c>
      <c r="H2">
        <f>IF(F2="","",F2-G2)</f>
        <v>122.63999999999999</v>
      </c>
      <c r="I2" s="4">
        <f>IF(F2="","",H2/G2)</f>
        <v>0.30632430812268951</v>
      </c>
      <c r="J2">
        <f>B2-F2</f>
        <v>212</v>
      </c>
      <c r="K2">
        <f>FY2027_Budget!I2</f>
        <v>327.6400000000001</v>
      </c>
      <c r="L2">
        <f>IF(J2="","",J2-K2)</f>
        <v>-115.6400000000001</v>
      </c>
      <c r="M2" s="4">
        <f>IF(J2="","",L2/K2)</f>
        <v>-0.35294835795385199</v>
      </c>
      <c r="O2" t="s">
        <v>208</v>
      </c>
      <c r="P2">
        <f>SUM(C2:C13)</f>
        <v>10240.16</v>
      </c>
    </row>
    <row r="3" spans="1:21">
      <c r="A3" s="5">
        <f>FY2027_Actuals!A3</f>
        <v>46534</v>
      </c>
      <c r="B3" s="35">
        <v>765</v>
      </c>
      <c r="C3">
        <f>FY2027_Budget!B3</f>
        <v>756.00000000000011</v>
      </c>
      <c r="D3">
        <f t="shared" ref="D3:D13" si="0">IF(B3="","",B3-C3)</f>
        <v>8.9999999999998863</v>
      </c>
      <c r="E3" s="4">
        <f t="shared" ref="E3:E13" si="1">IF(B3="","",D3/C3)</f>
        <v>1.1904761904761753E-2</v>
      </c>
      <c r="F3" s="35">
        <v>417</v>
      </c>
      <c r="G3">
        <f>FY2027_Budget!H3</f>
        <v>404.87000000000006</v>
      </c>
      <c r="H3">
        <f t="shared" ref="H3:H13" si="2">IF(F3="","",F3-G3)</f>
        <v>12.129999999999939</v>
      </c>
      <c r="I3" s="4">
        <f t="shared" ref="I3:I13" si="3">IF(F3="","",H3/G3)</f>
        <v>2.996023414923293E-2</v>
      </c>
      <c r="J3">
        <f t="shared" ref="J3:J13" si="4">B3-F3</f>
        <v>348</v>
      </c>
      <c r="K3">
        <f>FY2027_Budget!I3</f>
        <v>351.13000000000005</v>
      </c>
      <c r="L3">
        <f t="shared" ref="L3:L13" si="5">IF(J3="","",J3-K3)</f>
        <v>-3.1300000000000523</v>
      </c>
      <c r="M3" s="4">
        <f t="shared" ref="M3:M13" si="6">IF(J3="","",L3/K3)</f>
        <v>-8.9140774072282401E-3</v>
      </c>
      <c r="O3" t="s">
        <v>209</v>
      </c>
      <c r="P3">
        <f>SUM(G2:G13)</f>
        <v>5139.380000000001</v>
      </c>
    </row>
    <row r="4" spans="1:21">
      <c r="A4" s="5">
        <f>FY2027_Actuals!A4</f>
        <v>46565</v>
      </c>
      <c r="B4" s="35">
        <v>770</v>
      </c>
      <c r="C4">
        <f>FY2027_Budget!B4</f>
        <v>781.7600000000001</v>
      </c>
      <c r="D4">
        <f t="shared" si="0"/>
        <v>-11.760000000000105</v>
      </c>
      <c r="E4" s="4">
        <f t="shared" si="1"/>
        <v>-1.5042979942693541E-2</v>
      </c>
      <c r="F4" s="35">
        <v>420</v>
      </c>
      <c r="G4">
        <f>FY2027_Budget!H4</f>
        <v>417.07000000000005</v>
      </c>
      <c r="H4">
        <f t="shared" si="2"/>
        <v>2.92999999999995</v>
      </c>
      <c r="I4" s="4">
        <f t="shared" si="3"/>
        <v>7.0251996067805158E-3</v>
      </c>
      <c r="J4">
        <f t="shared" si="4"/>
        <v>350</v>
      </c>
      <c r="K4">
        <f>FY2027_Budget!I4</f>
        <v>364.69000000000005</v>
      </c>
      <c r="L4">
        <f t="shared" si="5"/>
        <v>-14.690000000000055</v>
      </c>
      <c r="M4" s="4">
        <f t="shared" si="6"/>
        <v>-4.0280786421344299E-2</v>
      </c>
      <c r="O4" t="s">
        <v>210</v>
      </c>
      <c r="P4">
        <f>SUM(K2:K13)</f>
        <v>5100.7800000000007</v>
      </c>
    </row>
    <row r="5" spans="1:21">
      <c r="A5" s="5">
        <f>FY2027_Actuals!A5</f>
        <v>46595</v>
      </c>
      <c r="B5" s="35">
        <v>810</v>
      </c>
      <c r="C5">
        <f>FY2027_Budget!B5</f>
        <v>795.2</v>
      </c>
      <c r="D5">
        <f t="shared" si="0"/>
        <v>14.799999999999955</v>
      </c>
      <c r="E5" s="4">
        <f t="shared" si="1"/>
        <v>1.8611670020120666E-2</v>
      </c>
      <c r="F5" s="35">
        <v>425</v>
      </c>
      <c r="G5">
        <f>FY2027_Budget!H5</f>
        <v>415.92000000000007</v>
      </c>
      <c r="H5">
        <f t="shared" si="2"/>
        <v>9.0799999999999272</v>
      </c>
      <c r="I5" s="4">
        <f t="shared" si="3"/>
        <v>2.1831121369493955E-2</v>
      </c>
      <c r="J5">
        <f t="shared" si="4"/>
        <v>385</v>
      </c>
      <c r="K5">
        <f>FY2027_Budget!I5</f>
        <v>379.28</v>
      </c>
      <c r="L5">
        <f t="shared" si="5"/>
        <v>5.7200000000000273</v>
      </c>
      <c r="M5" s="4">
        <f t="shared" si="6"/>
        <v>1.5081206496519794E-2</v>
      </c>
      <c r="O5" t="s">
        <v>122</v>
      </c>
      <c r="P5" s="32">
        <f>P4/P2</f>
        <v>0.49811526382400284</v>
      </c>
    </row>
    <row r="6" spans="1:21">
      <c r="A6" s="5">
        <f>FY2027_Actuals!A6</f>
        <v>46626</v>
      </c>
      <c r="B6" s="35">
        <v>800</v>
      </c>
      <c r="C6">
        <f>FY2027_Budget!B6</f>
        <v>814.24000000000012</v>
      </c>
      <c r="D6">
        <f t="shared" si="0"/>
        <v>-14.240000000000123</v>
      </c>
      <c r="E6" s="4">
        <f t="shared" si="1"/>
        <v>-1.7488701120063028E-2</v>
      </c>
      <c r="F6" s="35">
        <v>435</v>
      </c>
      <c r="G6">
        <f>FY2027_Budget!H6</f>
        <v>420.34</v>
      </c>
      <c r="H6">
        <f t="shared" si="2"/>
        <v>14.660000000000025</v>
      </c>
      <c r="I6" s="4">
        <f t="shared" si="3"/>
        <v>3.4876528524527828E-2</v>
      </c>
      <c r="J6">
        <f t="shared" si="4"/>
        <v>365</v>
      </c>
      <c r="K6">
        <f>FY2027_Budget!I6</f>
        <v>393.90000000000015</v>
      </c>
      <c r="L6">
        <f t="shared" si="5"/>
        <v>-28.900000000000148</v>
      </c>
      <c r="M6" s="4">
        <f t="shared" si="6"/>
        <v>-7.3368875349073714E-2</v>
      </c>
      <c r="O6" t="s">
        <v>211</v>
      </c>
    </row>
    <row r="7" spans="1:21">
      <c r="A7" s="5">
        <f>FY2027_Actuals!A7</f>
        <v>46657</v>
      </c>
      <c r="B7" s="35">
        <v>855</v>
      </c>
      <c r="C7">
        <f>FY2027_Budget!B7</f>
        <v>837.7600000000001</v>
      </c>
      <c r="D7">
        <f t="shared" si="0"/>
        <v>17.239999999999895</v>
      </c>
      <c r="E7" s="4">
        <f t="shared" si="1"/>
        <v>2.0578686019862364E-2</v>
      </c>
      <c r="F7" s="35">
        <v>439</v>
      </c>
      <c r="G7">
        <f>FY2027_Budget!H7</f>
        <v>424.7600000000001</v>
      </c>
      <c r="H7">
        <f t="shared" si="2"/>
        <v>14.239999999999895</v>
      </c>
      <c r="I7" s="4">
        <f t="shared" si="3"/>
        <v>3.3524814012618635E-2</v>
      </c>
      <c r="J7">
        <f t="shared" si="4"/>
        <v>416</v>
      </c>
      <c r="K7">
        <f>FY2027_Budget!I7</f>
        <v>413</v>
      </c>
      <c r="L7">
        <f t="shared" si="5"/>
        <v>3</v>
      </c>
      <c r="M7" s="4">
        <f t="shared" si="6"/>
        <v>7.2639225181598066E-3</v>
      </c>
      <c r="O7" t="s">
        <v>212</v>
      </c>
    </row>
    <row r="8" spans="1:21">
      <c r="A8" s="5">
        <f>FY2027_Actuals!A8</f>
        <v>46687</v>
      </c>
      <c r="B8" s="35">
        <v>845</v>
      </c>
      <c r="C8">
        <f>FY2027_Budget!B8</f>
        <v>859.04000000000008</v>
      </c>
      <c r="D8">
        <f t="shared" si="0"/>
        <v>-14.040000000000077</v>
      </c>
      <c r="E8" s="4">
        <f t="shared" si="1"/>
        <v>-1.6343825665859651E-2</v>
      </c>
      <c r="F8" s="35">
        <v>448</v>
      </c>
      <c r="G8">
        <f>FY2027_Budget!H8</f>
        <v>429.05</v>
      </c>
      <c r="H8">
        <f t="shared" si="2"/>
        <v>18.949999999999989</v>
      </c>
      <c r="I8" s="4">
        <f t="shared" si="3"/>
        <v>4.416734646311616E-2</v>
      </c>
      <c r="J8">
        <f t="shared" si="4"/>
        <v>397</v>
      </c>
      <c r="K8">
        <f>FY2027_Budget!I8</f>
        <v>429.99000000000007</v>
      </c>
      <c r="L8">
        <f t="shared" si="5"/>
        <v>-32.990000000000066</v>
      </c>
      <c r="M8" s="4">
        <f t="shared" si="6"/>
        <v>-7.6722714481732276E-2</v>
      </c>
    </row>
    <row r="9" spans="1:21">
      <c r="A9" s="5">
        <f>FY2027_Actuals!A9</f>
        <v>46718</v>
      </c>
      <c r="B9" s="35">
        <v>900</v>
      </c>
      <c r="C9">
        <f>FY2027_Budget!B9</f>
        <v>882.56000000000006</v>
      </c>
      <c r="D9">
        <f t="shared" si="0"/>
        <v>17.439999999999941</v>
      </c>
      <c r="E9" s="4">
        <f t="shared" si="1"/>
        <v>1.9760696156635175E-2</v>
      </c>
      <c r="F9" s="35">
        <v>455</v>
      </c>
      <c r="G9">
        <f>FY2027_Budget!H9</f>
        <v>434.66</v>
      </c>
      <c r="H9">
        <f t="shared" si="2"/>
        <v>20.339999999999975</v>
      </c>
      <c r="I9" s="4">
        <f t="shared" si="3"/>
        <v>4.6795196245341127E-2</v>
      </c>
      <c r="J9">
        <f t="shared" si="4"/>
        <v>445</v>
      </c>
      <c r="K9">
        <f>FY2027_Budget!I9</f>
        <v>447.90000000000003</v>
      </c>
      <c r="L9">
        <f t="shared" si="5"/>
        <v>-2.9000000000000341</v>
      </c>
      <c r="M9" s="4">
        <f t="shared" si="6"/>
        <v>-6.4746595222148554E-3</v>
      </c>
    </row>
    <row r="10" spans="1:21">
      <c r="A10" s="5">
        <f>FY2027_Actuals!A10</f>
        <v>46748</v>
      </c>
      <c r="B10" s="35">
        <v>925</v>
      </c>
      <c r="C10">
        <f>FY2027_Budget!B10</f>
        <v>907.2</v>
      </c>
      <c r="D10">
        <f t="shared" si="0"/>
        <v>17.799999999999955</v>
      </c>
      <c r="E10" s="4">
        <f t="shared" si="1"/>
        <v>1.9620811287477904E-2</v>
      </c>
      <c r="F10" s="35">
        <v>470</v>
      </c>
      <c r="G10">
        <f>FY2027_Budget!H10</f>
        <v>440.14</v>
      </c>
      <c r="H10">
        <f t="shared" si="2"/>
        <v>29.860000000000014</v>
      </c>
      <c r="I10" s="4">
        <f t="shared" si="3"/>
        <v>6.7842050256736522E-2</v>
      </c>
      <c r="J10">
        <f t="shared" si="4"/>
        <v>455</v>
      </c>
      <c r="K10">
        <f>FY2027_Budget!I10</f>
        <v>467.06000000000006</v>
      </c>
      <c r="L10">
        <f t="shared" si="5"/>
        <v>-12.060000000000059</v>
      </c>
      <c r="M10" s="4">
        <f t="shared" si="6"/>
        <v>-2.5821093649638284E-2</v>
      </c>
      <c r="O10" t="s">
        <v>227</v>
      </c>
      <c r="R10" t="s">
        <v>220</v>
      </c>
      <c r="S10" t="s">
        <v>14</v>
      </c>
      <c r="T10" t="s">
        <v>176</v>
      </c>
      <c r="U10" t="s">
        <v>221</v>
      </c>
    </row>
    <row r="11" spans="1:21">
      <c r="A11" s="5">
        <f>FY2027_Actuals!A11</f>
        <v>46779</v>
      </c>
      <c r="B11" s="35">
        <v>915</v>
      </c>
      <c r="C11">
        <f>FY2027_Budget!B11</f>
        <v>929.60000000000014</v>
      </c>
      <c r="D11">
        <f t="shared" si="0"/>
        <v>-14.600000000000136</v>
      </c>
      <c r="E11" s="4">
        <f t="shared" si="1"/>
        <v>-1.5705679862306511E-2</v>
      </c>
      <c r="F11" s="35">
        <v>468</v>
      </c>
      <c r="G11">
        <f>FY2027_Budget!H11</f>
        <v>444.44</v>
      </c>
      <c r="H11">
        <f t="shared" si="2"/>
        <v>23.560000000000002</v>
      </c>
      <c r="I11" s="4">
        <f t="shared" si="3"/>
        <v>5.301053010530106E-2</v>
      </c>
      <c r="J11">
        <f t="shared" si="4"/>
        <v>447</v>
      </c>
      <c r="K11">
        <f>FY2027_Budget!I11</f>
        <v>485.16000000000014</v>
      </c>
      <c r="L11">
        <f t="shared" si="5"/>
        <v>-38.160000000000139</v>
      </c>
      <c r="M11" s="4">
        <f t="shared" si="6"/>
        <v>-7.8654464506554805E-2</v>
      </c>
      <c r="O11" t="s">
        <v>228</v>
      </c>
      <c r="P11">
        <f>SUM(B2:B13)</f>
        <v>10310</v>
      </c>
      <c r="R11" t="s">
        <v>26</v>
      </c>
      <c r="S11">
        <f>FY2027_Actuals!C2</f>
        <v>278</v>
      </c>
      <c r="T11">
        <f>FY2027_Budget!C2</f>
        <v>275</v>
      </c>
      <c r="U11">
        <f>S11-T11</f>
        <v>3</v>
      </c>
    </row>
    <row r="12" spans="1:21">
      <c r="A12" s="5">
        <f>FY2027_Actuals!A12</f>
        <v>46810</v>
      </c>
      <c r="B12" s="35">
        <v>970</v>
      </c>
      <c r="C12">
        <f>FY2027_Budget!B12</f>
        <v>952.00000000000011</v>
      </c>
      <c r="D12">
        <f t="shared" si="0"/>
        <v>17.999999999999886</v>
      </c>
      <c r="E12" s="4">
        <f t="shared" si="1"/>
        <v>1.8907563025209961E-2</v>
      </c>
      <c r="F12" s="35">
        <v>480</v>
      </c>
      <c r="G12">
        <f>FY2027_Budget!H12</f>
        <v>448.97</v>
      </c>
      <c r="H12">
        <f t="shared" si="2"/>
        <v>31.029999999999973</v>
      </c>
      <c r="I12" s="4">
        <f t="shared" si="3"/>
        <v>6.911374924827933E-2</v>
      </c>
      <c r="J12">
        <f t="shared" si="4"/>
        <v>490</v>
      </c>
      <c r="K12">
        <f>FY2027_Budget!I12</f>
        <v>503.03000000000009</v>
      </c>
      <c r="L12">
        <f t="shared" si="5"/>
        <v>-13.030000000000086</v>
      </c>
      <c r="M12" s="4">
        <f t="shared" si="6"/>
        <v>-2.5903027652426466E-2</v>
      </c>
      <c r="O12" t="s">
        <v>194</v>
      </c>
      <c r="P12">
        <f>SUM(C2:C13)</f>
        <v>10240.16</v>
      </c>
      <c r="R12" t="s">
        <v>222</v>
      </c>
      <c r="S12">
        <f>FY2027_Actuals!D2</f>
        <v>245</v>
      </c>
      <c r="T12">
        <f>FY2027_Budget!D2+FY2027_Budget!E2+FY2027_Budget!F2+FY2027_Budget!G2</f>
        <v>125.36000000000001</v>
      </c>
      <c r="U12">
        <f>S12-T12</f>
        <v>119.63999999999999</v>
      </c>
    </row>
    <row r="13" spans="1:21">
      <c r="A13" s="5">
        <f>FY2027_Actuals!A13</f>
        <v>46839</v>
      </c>
      <c r="B13" s="37">
        <v>1020</v>
      </c>
      <c r="C13">
        <f>FY2027_Budget!B13</f>
        <v>996.80000000000007</v>
      </c>
      <c r="D13">
        <f t="shared" si="0"/>
        <v>23.199999999999932</v>
      </c>
      <c r="E13" s="4">
        <f t="shared" si="1"/>
        <v>2.3274478330658037E-2</v>
      </c>
      <c r="F13" s="35">
        <v>490</v>
      </c>
      <c r="G13">
        <f>FY2027_Budget!H13</f>
        <v>458.79999999999995</v>
      </c>
      <c r="H13">
        <f t="shared" si="2"/>
        <v>31.200000000000045</v>
      </c>
      <c r="I13" s="4">
        <f t="shared" si="3"/>
        <v>6.8003487358326176E-2</v>
      </c>
      <c r="J13">
        <f t="shared" si="4"/>
        <v>530</v>
      </c>
      <c r="K13">
        <f>FY2027_Budget!I13</f>
        <v>538.00000000000011</v>
      </c>
      <c r="L13">
        <f t="shared" si="5"/>
        <v>-8.0000000000001137</v>
      </c>
      <c r="M13" s="4">
        <f t="shared" si="6"/>
        <v>-1.4869888475836639E-2</v>
      </c>
      <c r="O13" t="s">
        <v>211</v>
      </c>
      <c r="P13">
        <f>P11-P12</f>
        <v>69.840000000000146</v>
      </c>
      <c r="R13" t="s">
        <v>223</v>
      </c>
      <c r="S13">
        <f>SUM(S11:S12)</f>
        <v>523</v>
      </c>
      <c r="T13">
        <f>SUM(T11:T12)</f>
        <v>400.36</v>
      </c>
      <c r="U13">
        <f>SUM(U11:U12)</f>
        <v>122.63999999999999</v>
      </c>
    </row>
    <row r="14" spans="1:21">
      <c r="O14" t="s">
        <v>199</v>
      </c>
      <c r="P14" s="4">
        <f>P13/P12</f>
        <v>6.8202059342822915E-3</v>
      </c>
    </row>
    <row r="15" spans="1:21">
      <c r="A15" s="11"/>
      <c r="B15" s="36"/>
      <c r="O15" t="s">
        <v>229</v>
      </c>
      <c r="P15">
        <f>SUM(F2:F13)</f>
        <v>5470</v>
      </c>
    </row>
    <row r="16" spans="1:21">
      <c r="A16" s="33"/>
      <c r="B16" s="35"/>
      <c r="O16" t="s">
        <v>195</v>
      </c>
      <c r="P16">
        <f>SUM(G2:G13)</f>
        <v>5139.380000000001</v>
      </c>
    </row>
    <row r="17" spans="1:21">
      <c r="A17" s="33"/>
      <c r="B17" s="36"/>
      <c r="O17" t="s">
        <v>230</v>
      </c>
      <c r="P17">
        <f>P15-P16</f>
        <v>330.61999999999898</v>
      </c>
    </row>
    <row r="18" spans="1:21">
      <c r="A18" s="33"/>
      <c r="B18" s="36"/>
      <c r="O18" t="s">
        <v>203</v>
      </c>
      <c r="P18" s="4">
        <f>P17/P16</f>
        <v>6.4330716934727319E-2</v>
      </c>
    </row>
    <row r="19" spans="1:21">
      <c r="A19" s="33"/>
      <c r="B19" s="36"/>
    </row>
    <row r="20" spans="1:21">
      <c r="A20" s="33"/>
      <c r="B20" s="36"/>
      <c r="R20" t="s">
        <v>220</v>
      </c>
      <c r="S20" t="s">
        <v>14</v>
      </c>
      <c r="T20" t="s">
        <v>176</v>
      </c>
      <c r="U20" t="s">
        <v>221</v>
      </c>
    </row>
    <row r="21" spans="1:21">
      <c r="A21" s="33"/>
      <c r="B21" s="36"/>
      <c r="O21" t="s">
        <v>231</v>
      </c>
      <c r="P21">
        <f>SUM(J2:J13)</f>
        <v>4840</v>
      </c>
      <c r="R21" t="s">
        <v>224</v>
      </c>
      <c r="S21">
        <v>52</v>
      </c>
      <c r="T21">
        <f>FY2027_Budget!D2</f>
        <v>50.88</v>
      </c>
      <c r="U21">
        <f>S21-T21</f>
        <v>1.1199999999999974</v>
      </c>
    </row>
    <row r="22" spans="1:21">
      <c r="A22" s="33"/>
      <c r="B22" s="36"/>
      <c r="O22" t="s">
        <v>196</v>
      </c>
      <c r="P22">
        <f>SUM(K2:K13)</f>
        <v>5100.7800000000007</v>
      </c>
      <c r="R22" t="s">
        <v>32</v>
      </c>
      <c r="S22">
        <v>31</v>
      </c>
      <c r="T22">
        <f>FY2027_Budget!E2</f>
        <v>30.240000000000002</v>
      </c>
      <c r="U22">
        <f>S22-T22</f>
        <v>0.75999999999999801</v>
      </c>
    </row>
    <row r="23" spans="1:21">
      <c r="A23" s="33"/>
      <c r="B23" s="36"/>
      <c r="O23" t="s">
        <v>212</v>
      </c>
      <c r="P23">
        <f>P21-P22</f>
        <v>-260.78000000000065</v>
      </c>
    </row>
    <row r="24" spans="1:21">
      <c r="A24" s="33"/>
      <c r="B24" s="36"/>
      <c r="O24" t="s">
        <v>206</v>
      </c>
      <c r="P24" s="4">
        <f>P23/P22</f>
        <v>-5.1125514137053671E-2</v>
      </c>
    </row>
    <row r="25" spans="1:21">
      <c r="A25" s="33"/>
      <c r="B25" s="36"/>
    </row>
    <row r="26" spans="1:21">
      <c r="A26" s="33"/>
      <c r="B26" s="36"/>
      <c r="O26" t="s">
        <v>232</v>
      </c>
    </row>
    <row r="27" spans="1:21">
      <c r="A27" s="33"/>
      <c r="B27" s="36"/>
      <c r="O27" t="s">
        <v>233</v>
      </c>
    </row>
    <row r="28" spans="1:21">
      <c r="O28" t="s">
        <v>234</v>
      </c>
    </row>
    <row r="29" spans="1:21">
      <c r="O29" t="s">
        <v>235</v>
      </c>
    </row>
    <row r="30" spans="1:21">
      <c r="O30" t="s">
        <v>236</v>
      </c>
    </row>
    <row r="33" spans="15:18">
      <c r="O33" t="s">
        <v>143</v>
      </c>
    </row>
    <row r="34" spans="15:18">
      <c r="O34" t="s">
        <v>0</v>
      </c>
      <c r="P34" t="s">
        <v>237</v>
      </c>
      <c r="Q34" t="s">
        <v>210</v>
      </c>
      <c r="R34" t="s">
        <v>212</v>
      </c>
    </row>
    <row r="35" spans="15:18">
      <c r="O35" s="5">
        <f>A2</f>
        <v>46504</v>
      </c>
      <c r="P35">
        <f>J2</f>
        <v>212</v>
      </c>
      <c r="Q35">
        <f t="shared" ref="Q35:R45" si="7">K2</f>
        <v>327.6400000000001</v>
      </c>
      <c r="R35">
        <f t="shared" si="7"/>
        <v>-115.6400000000001</v>
      </c>
    </row>
    <row r="36" spans="15:18">
      <c r="O36" s="5">
        <f t="shared" ref="O36:O45" si="8">A3</f>
        <v>46534</v>
      </c>
      <c r="P36">
        <f t="shared" ref="P36:P45" si="9">J3</f>
        <v>348</v>
      </c>
      <c r="Q36">
        <f t="shared" si="7"/>
        <v>351.13000000000005</v>
      </c>
      <c r="R36">
        <f t="shared" si="7"/>
        <v>-3.1300000000000523</v>
      </c>
    </row>
    <row r="37" spans="15:18">
      <c r="O37" s="5">
        <f t="shared" si="8"/>
        <v>46565</v>
      </c>
      <c r="P37">
        <f t="shared" si="9"/>
        <v>350</v>
      </c>
      <c r="Q37">
        <f t="shared" si="7"/>
        <v>364.69000000000005</v>
      </c>
      <c r="R37">
        <f t="shared" si="7"/>
        <v>-14.690000000000055</v>
      </c>
    </row>
    <row r="38" spans="15:18">
      <c r="O38" s="5">
        <f t="shared" si="8"/>
        <v>46595</v>
      </c>
      <c r="P38">
        <f t="shared" si="9"/>
        <v>385</v>
      </c>
      <c r="Q38">
        <f t="shared" si="7"/>
        <v>379.28</v>
      </c>
      <c r="R38">
        <f t="shared" si="7"/>
        <v>5.7200000000000273</v>
      </c>
    </row>
    <row r="39" spans="15:18">
      <c r="O39" s="5">
        <f t="shared" si="8"/>
        <v>46626</v>
      </c>
      <c r="P39">
        <f t="shared" si="9"/>
        <v>365</v>
      </c>
      <c r="Q39">
        <f t="shared" si="7"/>
        <v>393.90000000000015</v>
      </c>
      <c r="R39">
        <f t="shared" si="7"/>
        <v>-28.900000000000148</v>
      </c>
    </row>
    <row r="40" spans="15:18">
      <c r="O40" s="5">
        <f t="shared" si="8"/>
        <v>46657</v>
      </c>
      <c r="P40">
        <f t="shared" si="9"/>
        <v>416</v>
      </c>
      <c r="Q40">
        <f t="shared" si="7"/>
        <v>413</v>
      </c>
      <c r="R40">
        <f t="shared" si="7"/>
        <v>3</v>
      </c>
    </row>
    <row r="41" spans="15:18">
      <c r="O41" s="5">
        <f t="shared" si="8"/>
        <v>46687</v>
      </c>
      <c r="P41">
        <f t="shared" si="9"/>
        <v>397</v>
      </c>
      <c r="Q41">
        <f t="shared" si="7"/>
        <v>429.99000000000007</v>
      </c>
      <c r="R41">
        <f t="shared" si="7"/>
        <v>-32.990000000000066</v>
      </c>
    </row>
    <row r="42" spans="15:18">
      <c r="O42" s="5">
        <f t="shared" si="8"/>
        <v>46718</v>
      </c>
      <c r="P42">
        <f t="shared" si="9"/>
        <v>445</v>
      </c>
      <c r="Q42">
        <f t="shared" si="7"/>
        <v>447.90000000000003</v>
      </c>
      <c r="R42">
        <f t="shared" si="7"/>
        <v>-2.9000000000000341</v>
      </c>
    </row>
    <row r="43" spans="15:18">
      <c r="O43" s="5">
        <f t="shared" si="8"/>
        <v>46748</v>
      </c>
      <c r="P43">
        <f t="shared" si="9"/>
        <v>455</v>
      </c>
      <c r="Q43">
        <f t="shared" si="7"/>
        <v>467.06000000000006</v>
      </c>
      <c r="R43">
        <f t="shared" si="7"/>
        <v>-12.060000000000059</v>
      </c>
    </row>
    <row r="44" spans="15:18">
      <c r="O44" s="5">
        <f t="shared" si="8"/>
        <v>46779</v>
      </c>
      <c r="P44">
        <f t="shared" si="9"/>
        <v>447</v>
      </c>
      <c r="Q44">
        <f t="shared" si="7"/>
        <v>485.16000000000014</v>
      </c>
      <c r="R44">
        <f t="shared" si="7"/>
        <v>-38.160000000000139</v>
      </c>
    </row>
    <row r="45" spans="15:18">
      <c r="O45" s="5">
        <f t="shared" si="8"/>
        <v>46810</v>
      </c>
      <c r="P45">
        <f t="shared" si="9"/>
        <v>490</v>
      </c>
      <c r="Q45">
        <f t="shared" si="7"/>
        <v>503.03000000000009</v>
      </c>
      <c r="R45">
        <f t="shared" si="7"/>
        <v>-13.030000000000086</v>
      </c>
    </row>
    <row r="46" spans="15:18">
      <c r="O46" s="5">
        <f>A13</f>
        <v>46839</v>
      </c>
      <c r="P46">
        <f>J13</f>
        <v>530</v>
      </c>
      <c r="Q46">
        <f t="shared" ref="Q46" si="10">K13</f>
        <v>538.00000000000011</v>
      </c>
      <c r="R46">
        <f t="shared" ref="R46" si="11">L13</f>
        <v>-8.0000000000001137</v>
      </c>
    </row>
    <row r="48" spans="15:18">
      <c r="O48" t="s">
        <v>238</v>
      </c>
    </row>
    <row r="49" spans="15:18">
      <c r="O49">
        <f>MIN(R35:R46)</f>
        <v>-115.6400000000001</v>
      </c>
    </row>
    <row r="50" spans="15:18">
      <c r="O50" t="s">
        <v>239</v>
      </c>
    </row>
    <row r="51" spans="15:18">
      <c r="O51" s="5">
        <f>INDEX(O35:O46,MATCH(O49,R35:R46,0))</f>
        <v>46504</v>
      </c>
    </row>
    <row r="54" spans="15:18">
      <c r="O54" t="s">
        <v>240</v>
      </c>
    </row>
    <row r="55" spans="15:18">
      <c r="O55" t="s">
        <v>241</v>
      </c>
      <c r="P55" t="s">
        <v>242</v>
      </c>
      <c r="Q55" t="s">
        <v>243</v>
      </c>
      <c r="R55" t="s">
        <v>244</v>
      </c>
    </row>
    <row r="56" spans="15:18">
      <c r="O56" t="s">
        <v>26</v>
      </c>
      <c r="P56">
        <f>FY2027_Actuals!C2</f>
        <v>278</v>
      </c>
      <c r="Q56">
        <f>FY2027_Budget!C2</f>
        <v>275</v>
      </c>
      <c r="R56">
        <f>P56-Q56</f>
        <v>3</v>
      </c>
    </row>
    <row r="57" spans="15:18">
      <c r="O57" t="s">
        <v>245</v>
      </c>
      <c r="P57">
        <f>FY2027_Actuals!D2</f>
        <v>245</v>
      </c>
      <c r="Q57">
        <f>FY2027_Budget!H2-FY2027_Budget!C2</f>
        <v>125.36000000000001</v>
      </c>
      <c r="R57">
        <f>P57-Q57</f>
        <v>119.63999999999999</v>
      </c>
    </row>
    <row r="58" spans="15:18">
      <c r="O58" t="s">
        <v>246</v>
      </c>
      <c r="P58">
        <f>SUM(P56:P57)</f>
        <v>523</v>
      </c>
      <c r="Q58">
        <f>SUM(Q56:Q57)</f>
        <v>400.36</v>
      </c>
      <c r="R58">
        <f>SUM(R56:R57)</f>
        <v>122.63999999999999</v>
      </c>
    </row>
    <row r="61" spans="15:18">
      <c r="O61" t="s">
        <v>247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CAF0D-A6ED-4366-A6F0-FC62636E6ADE}">
  <dimension ref="A1:N27"/>
  <sheetViews>
    <sheetView showGridLines="0" workbookViewId="0">
      <pane xSplit="14" topLeftCell="O1" activePane="topRight" state="frozen"/>
      <selection pane="topRight" activeCell="S5" sqref="S5"/>
    </sheetView>
  </sheetViews>
  <sheetFormatPr defaultRowHeight="14.4"/>
  <cols>
    <col min="1" max="1" width="15.21875" customWidth="1"/>
  </cols>
  <sheetData>
    <row r="1" spans="1:14" ht="23.4" customHeight="1">
      <c r="A1" s="57" t="s">
        <v>248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14">
      <c r="A3" s="58" t="s">
        <v>249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5" spans="1:14">
      <c r="A5" s="59" t="s">
        <v>197</v>
      </c>
      <c r="B5" s="60"/>
      <c r="C5" s="61"/>
      <c r="D5" s="59" t="s">
        <v>250</v>
      </c>
      <c r="E5" s="60"/>
      <c r="F5" s="61"/>
      <c r="G5" s="71" t="s">
        <v>204</v>
      </c>
      <c r="H5" s="71"/>
      <c r="I5" s="71"/>
      <c r="J5" s="59" t="s">
        <v>251</v>
      </c>
      <c r="K5" s="60"/>
      <c r="L5" s="61"/>
    </row>
    <row r="6" spans="1:14">
      <c r="A6" s="62">
        <f>Actual_vs_Budget!P11</f>
        <v>10310</v>
      </c>
      <c r="B6" s="63"/>
      <c r="C6" s="64"/>
      <c r="D6" s="62">
        <f>Actual_vs_Budget!P15</f>
        <v>5470</v>
      </c>
      <c r="E6" s="63"/>
      <c r="F6" s="64"/>
      <c r="G6" s="72">
        <f>Actual_vs_Budget!P21</f>
        <v>4840</v>
      </c>
      <c r="H6" s="72"/>
      <c r="I6" s="72"/>
      <c r="J6" s="73">
        <f>Actual_vs_Budget!P21/Actual_vs_Budget!P11</f>
        <v>0.46944713870029098</v>
      </c>
      <c r="K6" s="74"/>
      <c r="L6" s="75"/>
    </row>
    <row r="7" spans="1:14">
      <c r="A7" s="65"/>
      <c r="B7" s="66"/>
      <c r="C7" s="67"/>
      <c r="D7" s="65"/>
      <c r="E7" s="66"/>
      <c r="F7" s="67"/>
      <c r="G7" s="72"/>
      <c r="H7" s="72"/>
      <c r="I7" s="72"/>
      <c r="J7" s="76"/>
      <c r="K7" s="77"/>
      <c r="L7" s="78"/>
    </row>
    <row r="8" spans="1:14">
      <c r="A8" s="68"/>
      <c r="B8" s="69"/>
      <c r="C8" s="70"/>
      <c r="D8" s="68"/>
      <c r="E8" s="69"/>
      <c r="F8" s="70"/>
      <c r="G8" s="72"/>
      <c r="H8" s="72"/>
      <c r="I8" s="72"/>
      <c r="J8" s="79"/>
      <c r="K8" s="80"/>
      <c r="L8" s="81"/>
    </row>
    <row r="10" spans="1:14">
      <c r="G10" s="39"/>
    </row>
    <row r="15" spans="1:14">
      <c r="M15" s="39"/>
    </row>
    <row r="23" spans="1:12" ht="18">
      <c r="A23" s="82" t="s">
        <v>152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</row>
    <row r="24" spans="1:12">
      <c r="A24" s="83" t="s">
        <v>252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</row>
    <row r="25" spans="1:12">
      <c r="A25" s="83" t="s">
        <v>253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</row>
    <row r="26" spans="1:12">
      <c r="A26" s="83" t="s">
        <v>254</v>
      </c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>
      <c r="A27" s="83" t="s">
        <v>255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</row>
  </sheetData>
  <mergeCells count="15">
    <mergeCell ref="A23:L23"/>
    <mergeCell ref="A24:L24"/>
    <mergeCell ref="A25:L25"/>
    <mergeCell ref="A26:L26"/>
    <mergeCell ref="A27:L27"/>
    <mergeCell ref="A1:N2"/>
    <mergeCell ref="A3:N3"/>
    <mergeCell ref="A5:C5"/>
    <mergeCell ref="A6:C8"/>
    <mergeCell ref="D5:F5"/>
    <mergeCell ref="D6:F8"/>
    <mergeCell ref="G5:I5"/>
    <mergeCell ref="G6:I8"/>
    <mergeCell ref="J5:L5"/>
    <mergeCell ref="J6:L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BEFD9-3D25-42DF-AB74-34DE059AB123}">
  <dimension ref="A1:C13"/>
  <sheetViews>
    <sheetView workbookViewId="0">
      <selection activeCell="A13" sqref="A13:XFD13"/>
    </sheetView>
  </sheetViews>
  <sheetFormatPr defaultRowHeight="14.4"/>
  <cols>
    <col min="1" max="1" width="57.21875" bestFit="1" customWidth="1"/>
  </cols>
  <sheetData>
    <row r="1" spans="1:3" ht="21">
      <c r="A1" s="41" t="s">
        <v>256</v>
      </c>
    </row>
    <row r="2" spans="1:3">
      <c r="A2" s="40" t="s">
        <v>257</v>
      </c>
    </row>
    <row r="4" spans="1:3">
      <c r="A4" s="12" t="s">
        <v>258</v>
      </c>
      <c r="B4" s="12" t="s">
        <v>139</v>
      </c>
      <c r="C4" s="12" t="s">
        <v>160</v>
      </c>
    </row>
    <row r="5" spans="1:3">
      <c r="A5" t="s">
        <v>162</v>
      </c>
      <c r="B5" s="42">
        <v>0.12</v>
      </c>
      <c r="C5" t="s">
        <v>163</v>
      </c>
    </row>
    <row r="6" spans="1:3">
      <c r="A6" t="s">
        <v>165</v>
      </c>
      <c r="B6" s="43">
        <v>0.1</v>
      </c>
      <c r="C6" t="s">
        <v>163</v>
      </c>
    </row>
    <row r="7" spans="1:3">
      <c r="A7" s="12" t="s">
        <v>259</v>
      </c>
      <c r="B7" s="43">
        <v>0.08</v>
      </c>
      <c r="C7" t="s">
        <v>163</v>
      </c>
    </row>
    <row r="8" spans="1:3">
      <c r="A8" t="s">
        <v>169</v>
      </c>
      <c r="B8" s="43">
        <v>0.06</v>
      </c>
      <c r="C8" t="s">
        <v>163</v>
      </c>
    </row>
    <row r="9" spans="1:3">
      <c r="A9" t="s">
        <v>260</v>
      </c>
      <c r="B9" s="43">
        <v>0.15</v>
      </c>
      <c r="C9" t="s">
        <v>163</v>
      </c>
    </row>
    <row r="10" spans="1:3">
      <c r="A10" t="s">
        <v>172</v>
      </c>
      <c r="B10" s="43">
        <v>7.0000000000000007E-2</v>
      </c>
      <c r="C10" t="s">
        <v>163</v>
      </c>
    </row>
    <row r="11" spans="1:3">
      <c r="A11" t="s">
        <v>174</v>
      </c>
      <c r="B11" s="43">
        <v>0.25</v>
      </c>
      <c r="C11" t="s">
        <v>163</v>
      </c>
    </row>
    <row r="12" spans="1:3">
      <c r="A12" t="s">
        <v>261</v>
      </c>
      <c r="B12" s="43">
        <v>0.08</v>
      </c>
      <c r="C12" t="s">
        <v>163</v>
      </c>
    </row>
    <row r="13" spans="1:3">
      <c r="A13" t="s">
        <v>262</v>
      </c>
      <c r="B13" s="43">
        <v>0.05</v>
      </c>
      <c r="C13" t="s">
        <v>163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F1A6-2EB1-4B73-8705-C138580D37DA}">
  <dimension ref="A1:E10"/>
  <sheetViews>
    <sheetView workbookViewId="0">
      <selection activeCell="C8" sqref="C8"/>
    </sheetView>
  </sheetViews>
  <sheetFormatPr defaultRowHeight="14.4"/>
  <cols>
    <col min="1" max="1" width="39.6640625" bestFit="1" customWidth="1"/>
    <col min="2" max="2" width="26.21875" bestFit="1" customWidth="1"/>
    <col min="3" max="3" width="16.77734375" bestFit="1" customWidth="1"/>
    <col min="4" max="4" width="28.21875" bestFit="1" customWidth="1"/>
    <col min="5" max="5" width="20.21875" bestFit="1" customWidth="1"/>
  </cols>
  <sheetData>
    <row r="1" spans="1:5" ht="21">
      <c r="A1" s="41" t="s">
        <v>263</v>
      </c>
    </row>
    <row r="2" spans="1:5">
      <c r="A2" t="s">
        <v>264</v>
      </c>
    </row>
    <row r="4" spans="1:5">
      <c r="A4" t="s">
        <v>147</v>
      </c>
      <c r="B4" t="s">
        <v>265</v>
      </c>
      <c r="C4" t="s">
        <v>266</v>
      </c>
      <c r="D4" t="s">
        <v>267</v>
      </c>
      <c r="E4" t="s">
        <v>148</v>
      </c>
    </row>
    <row r="5" spans="1:5">
      <c r="A5" t="s">
        <v>10</v>
      </c>
      <c r="B5">
        <f>Data_Profiling!H3</f>
        <v>4520</v>
      </c>
      <c r="C5">
        <v>0.1</v>
      </c>
      <c r="D5">
        <f>B5*(1+C5)</f>
        <v>4972</v>
      </c>
      <c r="E5" s="16">
        <f>D5/$D$8</f>
        <v>0.4789773083055166</v>
      </c>
    </row>
    <row r="6" spans="1:5">
      <c r="A6" t="s">
        <v>17</v>
      </c>
      <c r="B6">
        <f>Data_Profiling!H4</f>
        <v>2783</v>
      </c>
      <c r="C6">
        <v>0.15</v>
      </c>
      <c r="D6">
        <f t="shared" ref="D6:D7" si="0">B6*(1+C6)</f>
        <v>3200.45</v>
      </c>
      <c r="E6" s="16">
        <f t="shared" ref="E6:E7" si="1">D6/$D$8</f>
        <v>0.30831515011391603</v>
      </c>
    </row>
    <row r="7" spans="1:5">
      <c r="A7" t="s">
        <v>20</v>
      </c>
      <c r="B7">
        <f>Data_Profiling!H5</f>
        <v>1840</v>
      </c>
      <c r="C7">
        <v>0.2</v>
      </c>
      <c r="D7">
        <f t="shared" si="0"/>
        <v>2208</v>
      </c>
      <c r="E7" s="16">
        <f t="shared" si="1"/>
        <v>0.21270754158056729</v>
      </c>
    </row>
    <row r="8" spans="1:5">
      <c r="A8" t="s">
        <v>88</v>
      </c>
      <c r="B8">
        <f>SUM(B5:B7)</f>
        <v>9143</v>
      </c>
      <c r="C8" s="4"/>
      <c r="D8">
        <f>SUM(D5:D7)</f>
        <v>10380.450000000001</v>
      </c>
      <c r="E8" s="44">
        <f>SUM(E5:E7)</f>
        <v>0.99999999999999989</v>
      </c>
    </row>
    <row r="10" spans="1:5">
      <c r="A10" t="s">
        <v>268</v>
      </c>
      <c r="B10" s="44">
        <f>(D8-B8)/B8</f>
        <v>0.13534397900032821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FB736-C8DD-4A03-942E-48C2123B507F}">
  <dimension ref="A1:G29"/>
  <sheetViews>
    <sheetView topLeftCell="A4" workbookViewId="0">
      <selection activeCell="A4" sqref="A4:F21"/>
    </sheetView>
  </sheetViews>
  <sheetFormatPr defaultRowHeight="14.4"/>
  <cols>
    <col min="1" max="1" width="34.5546875" bestFit="1" customWidth="1"/>
    <col min="2" max="2" width="16.77734375" bestFit="1" customWidth="1"/>
    <col min="3" max="3" width="20.77734375" bestFit="1" customWidth="1"/>
    <col min="4" max="4" width="11.6640625" bestFit="1" customWidth="1"/>
    <col min="5" max="5" width="11.21875" bestFit="1" customWidth="1"/>
  </cols>
  <sheetData>
    <row r="1" spans="1:5" ht="21">
      <c r="A1" s="41" t="s">
        <v>269</v>
      </c>
    </row>
    <row r="2" spans="1:5">
      <c r="A2" s="40" t="s">
        <v>270</v>
      </c>
    </row>
    <row r="4" spans="1:5">
      <c r="A4" t="s">
        <v>271</v>
      </c>
      <c r="B4" t="s">
        <v>266</v>
      </c>
      <c r="C4" t="s">
        <v>272</v>
      </c>
      <c r="D4" t="s">
        <v>273</v>
      </c>
      <c r="E4" t="s">
        <v>281</v>
      </c>
    </row>
    <row r="5" spans="1:5">
      <c r="A5" s="12" t="s">
        <v>26</v>
      </c>
      <c r="B5" s="48">
        <f>Data_Profiling!B38</f>
        <v>3169</v>
      </c>
      <c r="C5" s="49">
        <f>Model_Assumptions!B6</f>
        <v>0.1</v>
      </c>
      <c r="D5">
        <f>B5*(1+C5)</f>
        <v>3485.9</v>
      </c>
      <c r="E5" s="16">
        <f>D5/Revenue_Model!$D$8</f>
        <v>0.33581395796906682</v>
      </c>
    </row>
    <row r="6" spans="1:5">
      <c r="A6" s="12" t="s">
        <v>224</v>
      </c>
      <c r="B6" s="12">
        <f>Data_Profiling!B40</f>
        <v>588</v>
      </c>
      <c r="C6" s="35">
        <f>Model_Assumptions!B7</f>
        <v>0.08</v>
      </c>
      <c r="D6">
        <f t="shared" ref="D6:D9" si="0">B6*(1+C6)</f>
        <v>635.04000000000008</v>
      </c>
      <c r="E6" s="16">
        <f>D6/Revenue_Model!$D$8</f>
        <v>6.1176538589367516E-2</v>
      </c>
    </row>
    <row r="7" spans="1:5">
      <c r="A7" s="12" t="s">
        <v>32</v>
      </c>
      <c r="B7" s="12">
        <f>Data_Profiling!B42</f>
        <v>374</v>
      </c>
      <c r="C7" s="49">
        <f>Model_Assumptions!B8</f>
        <v>0.06</v>
      </c>
      <c r="D7">
        <f t="shared" si="0"/>
        <v>396.44</v>
      </c>
      <c r="E7" s="16">
        <f>D7/Revenue_Model!$D$8</f>
        <v>3.8191022547192074E-2</v>
      </c>
    </row>
    <row r="8" spans="1:5">
      <c r="A8" s="12" t="s">
        <v>274</v>
      </c>
      <c r="B8" s="12">
        <f>Data_Profiling!B44</f>
        <v>285</v>
      </c>
      <c r="C8" s="49">
        <f>Model_Assumptions!B9</f>
        <v>0.15</v>
      </c>
      <c r="D8">
        <f t="shared" si="0"/>
        <v>327.75</v>
      </c>
      <c r="E8" s="16">
        <f>D8/Revenue_Model!$D$8</f>
        <v>3.1573775703365461E-2</v>
      </c>
    </row>
    <row r="9" spans="1:5">
      <c r="A9" s="12" t="s">
        <v>275</v>
      </c>
      <c r="B9" s="12">
        <f>Data_Profiling!B46</f>
        <v>279</v>
      </c>
      <c r="C9" s="49">
        <f>Model_Assumptions!B10</f>
        <v>7.0000000000000007E-2</v>
      </c>
      <c r="D9">
        <f t="shared" si="0"/>
        <v>298.53000000000003</v>
      </c>
      <c r="E9" s="16">
        <f>D9/Revenue_Model!$D$8</f>
        <v>2.8758868835166106E-2</v>
      </c>
    </row>
    <row r="10" spans="1:5">
      <c r="A10" s="45" t="s">
        <v>89</v>
      </c>
      <c r="B10" s="12">
        <f>SUM(B5:B9)</f>
        <v>4695</v>
      </c>
      <c r="C10" s="12"/>
      <c r="D10" s="12">
        <f>SUM(D5:D9)</f>
        <v>5143.66</v>
      </c>
      <c r="E10" s="50">
        <f>SUM(E5:E9)</f>
        <v>0.49551416364415796</v>
      </c>
    </row>
    <row r="11" spans="1:5">
      <c r="C11" s="12"/>
      <c r="D11" s="45"/>
      <c r="E11" s="47"/>
    </row>
    <row r="12" spans="1:5">
      <c r="A12" s="46" t="s">
        <v>276</v>
      </c>
      <c r="C12" s="12"/>
      <c r="D12" s="45"/>
      <c r="E12" s="47"/>
    </row>
    <row r="13" spans="1:5">
      <c r="A13" s="46" t="s">
        <v>277</v>
      </c>
      <c r="B13" s="44">
        <f>D5/D10</f>
        <v>0.67770809112577424</v>
      </c>
    </row>
    <row r="14" spans="1:5">
      <c r="A14" s="46" t="s">
        <v>278</v>
      </c>
      <c r="B14" s="51">
        <f>D10-D5</f>
        <v>1657.7599999999998</v>
      </c>
    </row>
    <row r="15" spans="1:5">
      <c r="A15" s="46" t="s">
        <v>279</v>
      </c>
      <c r="B15" s="16">
        <f>D10/Revenue_Model!$D$8</f>
        <v>0.49551416364415796</v>
      </c>
    </row>
    <row r="17" spans="1:7">
      <c r="A17" s="46" t="s">
        <v>280</v>
      </c>
    </row>
    <row r="18" spans="1:7">
      <c r="A18" s="46" t="s">
        <v>12</v>
      </c>
      <c r="B18">
        <f>Revenue_Model!D8</f>
        <v>10380.450000000001</v>
      </c>
    </row>
    <row r="19" spans="1:7">
      <c r="A19" s="46" t="s">
        <v>89</v>
      </c>
      <c r="B19">
        <f>D10</f>
        <v>5143.66</v>
      </c>
    </row>
    <row r="20" spans="1:7">
      <c r="A20" s="46" t="s">
        <v>121</v>
      </c>
      <c r="B20">
        <f>B18-B19</f>
        <v>5236.7900000000009</v>
      </c>
    </row>
    <row r="21" spans="1:7">
      <c r="A21" s="46" t="s">
        <v>122</v>
      </c>
      <c r="B21" s="44">
        <f>B20/B18</f>
        <v>0.50448583635584199</v>
      </c>
    </row>
    <row r="25" spans="1:7">
      <c r="G25" t="s">
        <v>280</v>
      </c>
    </row>
    <row r="26" spans="1:7">
      <c r="G26" t="s">
        <v>12</v>
      </c>
    </row>
    <row r="27" spans="1:7">
      <c r="G27" t="s">
        <v>89</v>
      </c>
    </row>
    <row r="28" spans="1:7">
      <c r="G28" t="s">
        <v>121</v>
      </c>
    </row>
    <row r="29" spans="1:7">
      <c r="G29" t="s">
        <v>122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B4221-808F-4AAF-BA3A-D9083F8CA3BF}">
  <dimension ref="A1:B18"/>
  <sheetViews>
    <sheetView workbookViewId="0">
      <selection activeCell="G15" sqref="G15"/>
    </sheetView>
  </sheetViews>
  <sheetFormatPr defaultRowHeight="14.4"/>
  <cols>
    <col min="1" max="1" width="23.88671875" bestFit="1" customWidth="1"/>
    <col min="2" max="2" width="20.77734375" bestFit="1" customWidth="1"/>
  </cols>
  <sheetData>
    <row r="1" spans="1:2">
      <c r="A1" t="s">
        <v>282</v>
      </c>
    </row>
    <row r="2" spans="1:2">
      <c r="A2" t="s">
        <v>283</v>
      </c>
    </row>
    <row r="4" spans="1:2">
      <c r="A4" t="s">
        <v>284</v>
      </c>
      <c r="B4" t="s">
        <v>272</v>
      </c>
    </row>
    <row r="5" spans="1:2">
      <c r="A5" t="s">
        <v>12</v>
      </c>
      <c r="B5">
        <f>Revenue_Model!D8</f>
        <v>10380.450000000001</v>
      </c>
    </row>
    <row r="6" spans="1:2">
      <c r="A6" t="s">
        <v>285</v>
      </c>
      <c r="B6">
        <f>Cost_Model!D10</f>
        <v>5143.66</v>
      </c>
    </row>
    <row r="7" spans="1:2">
      <c r="A7" t="s">
        <v>121</v>
      </c>
      <c r="B7">
        <f>B5-B6</f>
        <v>5236.7900000000009</v>
      </c>
    </row>
    <row r="8" spans="1:2">
      <c r="A8" t="s">
        <v>122</v>
      </c>
      <c r="B8" s="44">
        <f>B7/B5</f>
        <v>0.50448583635584199</v>
      </c>
    </row>
    <row r="10" spans="1:2">
      <c r="A10" t="s">
        <v>286</v>
      </c>
      <c r="B10">
        <v>300</v>
      </c>
    </row>
    <row r="11" spans="1:2">
      <c r="A11" t="s">
        <v>287</v>
      </c>
      <c r="B11">
        <f>B7-B10</f>
        <v>4936.7900000000009</v>
      </c>
    </row>
    <row r="12" spans="1:2">
      <c r="A12" t="s">
        <v>288</v>
      </c>
      <c r="B12" s="44">
        <f>B11/B5</f>
        <v>0.47558535516283018</v>
      </c>
    </row>
    <row r="14" spans="1:2">
      <c r="A14" t="s">
        <v>43</v>
      </c>
      <c r="B14">
        <v>100</v>
      </c>
    </row>
    <row r="15" spans="1:2">
      <c r="A15" t="s">
        <v>136</v>
      </c>
      <c r="B15">
        <f>B11-B14</f>
        <v>4836.7900000000009</v>
      </c>
    </row>
    <row r="16" spans="1:2">
      <c r="A16" t="s">
        <v>126</v>
      </c>
      <c r="B16">
        <f>B15*25/100</f>
        <v>1209.1975000000002</v>
      </c>
    </row>
    <row r="17" spans="1:2">
      <c r="A17" t="s">
        <v>137</v>
      </c>
      <c r="B17" s="17">
        <f>B15-B16</f>
        <v>3627.5925000000007</v>
      </c>
    </row>
    <row r="18" spans="1:2">
      <c r="A18" t="s">
        <v>130</v>
      </c>
      <c r="B18" s="16">
        <f>B17/B5</f>
        <v>0.34946389607386968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4929-32CD-428F-BAF8-FED38AB0442C}">
  <dimension ref="A1:B21"/>
  <sheetViews>
    <sheetView topLeftCell="A4" workbookViewId="0">
      <selection activeCell="B22" sqref="B22"/>
    </sheetView>
  </sheetViews>
  <sheetFormatPr defaultRowHeight="14.4"/>
  <cols>
    <col min="1" max="1" width="29.6640625" bestFit="1" customWidth="1"/>
    <col min="2" max="2" width="20.77734375" bestFit="1" customWidth="1"/>
  </cols>
  <sheetData>
    <row r="1" spans="1:2">
      <c r="A1" t="s">
        <v>289</v>
      </c>
    </row>
    <row r="2" spans="1:2">
      <c r="A2" t="s">
        <v>290</v>
      </c>
    </row>
    <row r="4" spans="1:2">
      <c r="A4" t="s">
        <v>284</v>
      </c>
      <c r="B4" t="s">
        <v>272</v>
      </c>
    </row>
    <row r="6" spans="1:2">
      <c r="A6" t="s">
        <v>137</v>
      </c>
      <c r="B6" s="17">
        <f>'P&amp;L_Forecast'!B17</f>
        <v>3627.5925000000007</v>
      </c>
    </row>
    <row r="7" spans="1:2">
      <c r="A7" t="s">
        <v>286</v>
      </c>
      <c r="B7">
        <v>300</v>
      </c>
    </row>
    <row r="8" spans="1:2">
      <c r="A8" t="s">
        <v>291</v>
      </c>
      <c r="B8" s="8">
        <f>Revenue_Model!D8*Model_Assumptions!B13</f>
        <v>519.02250000000004</v>
      </c>
    </row>
    <row r="9" spans="1:2">
      <c r="A9" t="s">
        <v>292</v>
      </c>
      <c r="B9" s="8">
        <f>B6+B7-B8</f>
        <v>3408.5700000000006</v>
      </c>
    </row>
    <row r="11" spans="1:2">
      <c r="A11" t="s">
        <v>293</v>
      </c>
      <c r="B11">
        <f>-500*(1+Model_Assumptions!B12)</f>
        <v>-540</v>
      </c>
    </row>
    <row r="12" spans="1:2">
      <c r="A12" t="s">
        <v>294</v>
      </c>
      <c r="B12">
        <f>B11</f>
        <v>-540</v>
      </c>
    </row>
    <row r="14" spans="1:2">
      <c r="A14" t="s">
        <v>295</v>
      </c>
      <c r="B14">
        <v>300</v>
      </c>
    </row>
    <row r="15" spans="1:2">
      <c r="A15" t="s">
        <v>296</v>
      </c>
      <c r="B15">
        <v>0</v>
      </c>
    </row>
    <row r="16" spans="1:2">
      <c r="A16" t="s">
        <v>297</v>
      </c>
      <c r="B16">
        <v>300</v>
      </c>
    </row>
    <row r="18" spans="1:2">
      <c r="A18" t="s">
        <v>298</v>
      </c>
      <c r="B18" s="8">
        <f>B9+B12+B16</f>
        <v>3168.5700000000006</v>
      </c>
    </row>
    <row r="20" spans="1:2">
      <c r="A20" t="s">
        <v>299</v>
      </c>
      <c r="B20">
        <v>1000</v>
      </c>
    </row>
    <row r="21" spans="1:2">
      <c r="A21" t="s">
        <v>300</v>
      </c>
      <c r="B21" s="8">
        <f>B20+B18</f>
        <v>4168.5700000000006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6DC14-11A0-4D32-BD0F-523D3934BDCA}">
  <dimension ref="A1:B37"/>
  <sheetViews>
    <sheetView topLeftCell="A18" workbookViewId="0">
      <selection activeCell="B38" sqref="B38"/>
    </sheetView>
  </sheetViews>
  <sheetFormatPr defaultRowHeight="14.4"/>
  <cols>
    <col min="1" max="1" width="24.6640625" bestFit="1" customWidth="1"/>
    <col min="3" max="3" width="15.88671875" customWidth="1"/>
  </cols>
  <sheetData>
    <row r="1" spans="1:2">
      <c r="A1" t="s">
        <v>301</v>
      </c>
    </row>
    <row r="2" spans="1:2">
      <c r="A2" t="s">
        <v>302</v>
      </c>
    </row>
    <row r="4" spans="1:2">
      <c r="A4" t="s">
        <v>284</v>
      </c>
      <c r="B4" t="s">
        <v>272</v>
      </c>
    </row>
    <row r="6" spans="1:2">
      <c r="A6" t="s">
        <v>303</v>
      </c>
      <c r="B6" s="8"/>
    </row>
    <row r="8" spans="1:2">
      <c r="A8" t="s">
        <v>304</v>
      </c>
      <c r="B8" s="8">
        <f>Cash_Flow!B21</f>
        <v>4168.5700000000006</v>
      </c>
    </row>
    <row r="9" spans="1:2">
      <c r="A9" t="s">
        <v>305</v>
      </c>
      <c r="B9" s="8">
        <f>Revenue_Model!D8*Model_Assumptions!B13</f>
        <v>519.02250000000004</v>
      </c>
    </row>
    <row r="10" spans="1:2">
      <c r="A10" t="s">
        <v>306</v>
      </c>
      <c r="B10">
        <f>100</f>
        <v>100</v>
      </c>
    </row>
    <row r="11" spans="1:2">
      <c r="A11" t="s">
        <v>307</v>
      </c>
      <c r="B11" s="8">
        <f>SUM(B8:B10)</f>
        <v>4787.5925000000007</v>
      </c>
    </row>
    <row r="13" spans="1:2">
      <c r="A13" t="s">
        <v>308</v>
      </c>
      <c r="B13">
        <f>2500+ABS(Cash_Flow!B11)-'P&amp;L_Forecast'!B10</f>
        <v>2740</v>
      </c>
    </row>
    <row r="14" spans="1:2">
      <c r="A14" t="s">
        <v>309</v>
      </c>
      <c r="B14" s="8">
        <f>200</f>
        <v>200</v>
      </c>
    </row>
    <row r="15" spans="1:2">
      <c r="A15" t="s">
        <v>310</v>
      </c>
      <c r="B15">
        <f>SUM(B13:B14)</f>
        <v>2940</v>
      </c>
    </row>
    <row r="17" spans="1:2">
      <c r="A17" t="s">
        <v>311</v>
      </c>
      <c r="B17" s="8">
        <f>B11+B15</f>
        <v>7727.5925000000007</v>
      </c>
    </row>
    <row r="19" spans="1:2">
      <c r="A19" t="s">
        <v>312</v>
      </c>
    </row>
    <row r="21" spans="1:2">
      <c r="A21" t="s">
        <v>313</v>
      </c>
      <c r="B21" s="8">
        <f>Revenue_Model!D8*Model_Assumptions!B13</f>
        <v>519.02250000000004</v>
      </c>
    </row>
    <row r="22" spans="1:2">
      <c r="A22" t="s">
        <v>314</v>
      </c>
      <c r="B22">
        <f>100</f>
        <v>100</v>
      </c>
    </row>
    <row r="23" spans="1:2">
      <c r="A23" t="s">
        <v>315</v>
      </c>
      <c r="B23" s="8">
        <f>SUM(B21:B22)</f>
        <v>619.02250000000004</v>
      </c>
    </row>
    <row r="25" spans="1:2">
      <c r="A25" t="s">
        <v>295</v>
      </c>
      <c r="B25">
        <f>Cash_Flow!B14</f>
        <v>300</v>
      </c>
    </row>
    <row r="26" spans="1:2">
      <c r="A26" t="s">
        <v>316</v>
      </c>
      <c r="B26">
        <v>100</v>
      </c>
    </row>
    <row r="27" spans="1:2">
      <c r="A27" t="s">
        <v>317</v>
      </c>
      <c r="B27">
        <f>SUM(B25:B26)</f>
        <v>400</v>
      </c>
    </row>
    <row r="29" spans="1:2">
      <c r="A29" t="s">
        <v>318</v>
      </c>
      <c r="B29" s="8">
        <f>B23+B27</f>
        <v>1019.0225</v>
      </c>
    </row>
    <row r="31" spans="1:2">
      <c r="A31" t="s">
        <v>319</v>
      </c>
      <c r="B31" s="8">
        <f>B17-B29-B32</f>
        <v>3080.9775</v>
      </c>
    </row>
    <row r="32" spans="1:2">
      <c r="A32" t="s">
        <v>320</v>
      </c>
      <c r="B32" s="8">
        <f>'P&amp;L_Forecast'!B17</f>
        <v>3627.5925000000007</v>
      </c>
    </row>
    <row r="33" spans="1:2">
      <c r="A33" t="s">
        <v>321</v>
      </c>
      <c r="B33" s="8">
        <f>SUM(B31:B32)</f>
        <v>6708.5700000000006</v>
      </c>
    </row>
    <row r="35" spans="1:2">
      <c r="A35" t="s">
        <v>322</v>
      </c>
      <c r="B35" s="8">
        <f>B29+B33</f>
        <v>7727.5925000000007</v>
      </c>
    </row>
    <row r="37" spans="1:2">
      <c r="A37" t="s">
        <v>323</v>
      </c>
      <c r="B37" s="8">
        <f>B17-B35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75EBF-A773-4820-B7C1-72AA29EB31C1}">
  <dimension ref="A1:L33"/>
  <sheetViews>
    <sheetView topLeftCell="A19" workbookViewId="0">
      <selection activeCell="G31" sqref="G31"/>
    </sheetView>
  </sheetViews>
  <sheetFormatPr defaultRowHeight="14.4"/>
  <cols>
    <col min="1" max="1" width="29.6640625" bestFit="1" customWidth="1"/>
    <col min="2" max="2" width="20.77734375" bestFit="1" customWidth="1"/>
    <col min="11" max="11" width="9.5546875" bestFit="1" customWidth="1"/>
  </cols>
  <sheetData>
    <row r="1" spans="1:12">
      <c r="A1" t="s">
        <v>324</v>
      </c>
    </row>
    <row r="2" spans="1:12">
      <c r="A2" t="s">
        <v>325</v>
      </c>
    </row>
    <row r="4" spans="1:12">
      <c r="A4" t="s">
        <v>284</v>
      </c>
      <c r="B4" t="s">
        <v>272</v>
      </c>
    </row>
    <row r="5" spans="1:12">
      <c r="I5" s="11"/>
      <c r="J5" s="11"/>
      <c r="K5" s="11"/>
    </row>
    <row r="6" spans="1:12">
      <c r="A6" t="s">
        <v>326</v>
      </c>
      <c r="I6" s="45"/>
      <c r="J6" s="12"/>
      <c r="K6" s="47"/>
    </row>
    <row r="7" spans="1:12">
      <c r="I7" s="45"/>
      <c r="J7" s="12"/>
      <c r="K7" s="47"/>
    </row>
    <row r="8" spans="1:12">
      <c r="A8" t="s">
        <v>12</v>
      </c>
      <c r="B8" s="17">
        <f>'P&amp;L_Forecast'!B5</f>
        <v>10380.450000000001</v>
      </c>
      <c r="I8" s="45"/>
      <c r="J8" s="12"/>
      <c r="K8" s="47"/>
    </row>
    <row r="9" spans="1:12">
      <c r="A9" t="s">
        <v>121</v>
      </c>
      <c r="B9" s="17">
        <f>'P&amp;L_Forecast'!B7</f>
        <v>5236.7900000000009</v>
      </c>
      <c r="I9" s="45"/>
      <c r="J9" s="12"/>
      <c r="K9" s="47"/>
    </row>
    <row r="10" spans="1:12">
      <c r="A10" t="s">
        <v>287</v>
      </c>
      <c r="B10" s="17">
        <f>'P&amp;L_Forecast'!B11</f>
        <v>4936.7900000000009</v>
      </c>
      <c r="I10" s="45"/>
      <c r="J10" s="12"/>
      <c r="K10" s="47"/>
    </row>
    <row r="11" spans="1:12">
      <c r="A11" t="s">
        <v>136</v>
      </c>
      <c r="B11" s="17">
        <f>'P&amp;L_Forecast'!B15</f>
        <v>4836.7900000000009</v>
      </c>
    </row>
    <row r="12" spans="1:12">
      <c r="A12" t="s">
        <v>137</v>
      </c>
      <c r="B12" s="17">
        <f>'P&amp;L_Forecast'!B17</f>
        <v>3627.5925000000007</v>
      </c>
    </row>
    <row r="13" spans="1:12">
      <c r="K13" s="11"/>
      <c r="L13" s="36"/>
    </row>
    <row r="14" spans="1:12">
      <c r="A14" t="s">
        <v>327</v>
      </c>
      <c r="K14" s="12"/>
      <c r="L14" s="53"/>
    </row>
    <row r="15" spans="1:12">
      <c r="K15" s="12"/>
      <c r="L15" s="36"/>
    </row>
    <row r="16" spans="1:12">
      <c r="A16" t="s">
        <v>292</v>
      </c>
      <c r="B16" s="54">
        <v>3408.57</v>
      </c>
      <c r="K16" s="12"/>
      <c r="L16" s="36"/>
    </row>
    <row r="17" spans="1:12">
      <c r="A17" t="s">
        <v>294</v>
      </c>
      <c r="B17" s="35">
        <v>-540</v>
      </c>
      <c r="K17" s="12"/>
      <c r="L17" s="53"/>
    </row>
    <row r="18" spans="1:12">
      <c r="A18" t="s">
        <v>297</v>
      </c>
      <c r="B18" s="35">
        <v>300</v>
      </c>
      <c r="K18" s="12"/>
      <c r="L18" s="53"/>
    </row>
    <row r="19" spans="1:12">
      <c r="A19" t="s">
        <v>298</v>
      </c>
      <c r="B19" s="54">
        <v>3168.57</v>
      </c>
    </row>
    <row r="20" spans="1:12">
      <c r="A20" t="s">
        <v>300</v>
      </c>
      <c r="B20" s="54">
        <v>4168.57</v>
      </c>
      <c r="J20" s="11"/>
      <c r="K20" s="36"/>
    </row>
    <row r="21" spans="1:12">
      <c r="J21" s="12"/>
      <c r="K21" s="53"/>
    </row>
    <row r="22" spans="1:12">
      <c r="A22" t="s">
        <v>328</v>
      </c>
      <c r="J22" s="12"/>
      <c r="K22" s="53"/>
    </row>
    <row r="23" spans="1:12">
      <c r="J23" s="12"/>
      <c r="K23" s="53"/>
    </row>
    <row r="24" spans="1:12">
      <c r="A24" t="s">
        <v>311</v>
      </c>
      <c r="B24" s="54">
        <v>7727.59</v>
      </c>
      <c r="J24" s="45"/>
      <c r="K24" s="36"/>
    </row>
    <row r="25" spans="1:12">
      <c r="A25" t="s">
        <v>318</v>
      </c>
      <c r="B25" s="54">
        <v>1019.02</v>
      </c>
    </row>
    <row r="26" spans="1:12">
      <c r="A26" t="s">
        <v>321</v>
      </c>
      <c r="B26" s="54">
        <v>6708.57</v>
      </c>
    </row>
    <row r="27" spans="1:12">
      <c r="A27" t="s">
        <v>323</v>
      </c>
      <c r="B27" s="52">
        <f>B26+B25-B24</f>
        <v>0</v>
      </c>
      <c r="I27" s="11"/>
      <c r="J27" s="36"/>
    </row>
    <row r="28" spans="1:12">
      <c r="I28" s="12"/>
      <c r="J28" s="55"/>
    </row>
    <row r="29" spans="1:12">
      <c r="A29" t="s">
        <v>329</v>
      </c>
      <c r="I29" s="12"/>
      <c r="J29" s="55"/>
    </row>
    <row r="30" spans="1:12">
      <c r="I30" s="12"/>
      <c r="J30" s="55"/>
    </row>
    <row r="31" spans="1:12">
      <c r="A31" t="s">
        <v>122</v>
      </c>
      <c r="B31" s="56">
        <v>0.504</v>
      </c>
    </row>
    <row r="32" spans="1:12">
      <c r="A32" t="s">
        <v>288</v>
      </c>
      <c r="B32" s="56">
        <v>0.47599999999999998</v>
      </c>
    </row>
    <row r="33" spans="1:2">
      <c r="A33" t="s">
        <v>130</v>
      </c>
      <c r="B33" s="56">
        <v>0.35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29750-E68F-4029-9A02-4516E53BCF56}">
  <dimension ref="A1:D21"/>
  <sheetViews>
    <sheetView topLeftCell="A4" workbookViewId="0">
      <selection sqref="A1:D21"/>
    </sheetView>
  </sheetViews>
  <sheetFormatPr defaultRowHeight="14.4"/>
  <cols>
    <col min="1" max="1" width="27.33203125" bestFit="1" customWidth="1"/>
    <col min="2" max="2" width="12" bestFit="1" customWidth="1"/>
    <col min="3" max="3" width="12.109375" bestFit="1" customWidth="1"/>
    <col min="4" max="4" width="13.44140625" bestFit="1" customWidth="1"/>
  </cols>
  <sheetData>
    <row r="1" spans="1:4">
      <c r="A1" t="s">
        <v>330</v>
      </c>
    </row>
    <row r="2" spans="1:4">
      <c r="A2" t="s">
        <v>331</v>
      </c>
    </row>
    <row r="4" spans="1:4">
      <c r="A4" t="s">
        <v>86</v>
      </c>
      <c r="B4" t="s">
        <v>332</v>
      </c>
      <c r="C4" t="s">
        <v>333</v>
      </c>
      <c r="D4" t="s">
        <v>334</v>
      </c>
    </row>
    <row r="6" spans="1:4">
      <c r="A6" t="s">
        <v>162</v>
      </c>
      <c r="B6" s="32">
        <v>0.12</v>
      </c>
      <c r="C6" s="32">
        <v>0.18</v>
      </c>
      <c r="D6" s="32">
        <v>0.06</v>
      </c>
    </row>
    <row r="7" spans="1:4">
      <c r="A7" t="s">
        <v>165</v>
      </c>
      <c r="B7" s="32">
        <v>0.1</v>
      </c>
      <c r="C7" s="32">
        <v>0.08</v>
      </c>
      <c r="D7" s="32">
        <v>0.14000000000000001</v>
      </c>
    </row>
    <row r="8" spans="1:4">
      <c r="A8" t="s">
        <v>335</v>
      </c>
      <c r="B8" s="32">
        <v>0.08</v>
      </c>
      <c r="C8" s="32">
        <v>0.05</v>
      </c>
      <c r="D8" s="32">
        <v>0.12</v>
      </c>
    </row>
    <row r="10" spans="1:4">
      <c r="A10" t="s">
        <v>97</v>
      </c>
      <c r="B10">
        <f>Revenue_Model!B8*(1+B6)</f>
        <v>10240.160000000002</v>
      </c>
      <c r="C10">
        <f>Revenue_Model!B8*(1+C6)</f>
        <v>10788.74</v>
      </c>
      <c r="D10">
        <f>Revenue_Model!B8*(1+D6)</f>
        <v>9691.58</v>
      </c>
    </row>
    <row r="11" spans="1:4">
      <c r="A11" t="s">
        <v>141</v>
      </c>
      <c r="B11">
        <f>Data_Profiling!B38*(1+B7)+(Data_Profiling!B47-Data_Profiling!B38)*(1+B8)</f>
        <v>5133.9800000000005</v>
      </c>
      <c r="C11">
        <f>Data_Profiling!B38*(1+C7)+(Data_Profiling!B47-Data_Profiling!B38)*(1+C8)</f>
        <v>5024.8200000000006</v>
      </c>
      <c r="D11">
        <f>Data_Profiling!B38*(1+D7)+(Data_Profiling!B47-Data_Profiling!B38)*(1+D8)</f>
        <v>5321.7800000000007</v>
      </c>
    </row>
    <row r="12" spans="1:4">
      <c r="A12" t="s">
        <v>144</v>
      </c>
      <c r="B12">
        <f>B10-B11</f>
        <v>5106.1800000000012</v>
      </c>
      <c r="C12">
        <f t="shared" ref="C12:D12" si="0">C10-C11</f>
        <v>5763.9199999999992</v>
      </c>
      <c r="D12">
        <f t="shared" si="0"/>
        <v>4369.7999999999993</v>
      </c>
    </row>
    <row r="13" spans="1:4">
      <c r="A13" t="s">
        <v>122</v>
      </c>
      <c r="B13" s="16">
        <f>B12/B10</f>
        <v>0.49864259933438543</v>
      </c>
      <c r="C13" s="16">
        <f t="shared" ref="C13:D13" si="1">C12/C10</f>
        <v>0.53425330483448474</v>
      </c>
      <c r="D13" s="16">
        <f t="shared" si="1"/>
        <v>0.45088623320449289</v>
      </c>
    </row>
    <row r="14" spans="1:4">
      <c r="A14" t="s">
        <v>336</v>
      </c>
      <c r="B14" s="8">
        <f>(B12-300-100)*75/100</f>
        <v>3529.6350000000011</v>
      </c>
      <c r="C14" s="8">
        <f t="shared" ref="C14:D14" si="2">(C12-300-100)*75/100</f>
        <v>4022.9399999999996</v>
      </c>
      <c r="D14" s="8">
        <f t="shared" si="2"/>
        <v>2977.3499999999995</v>
      </c>
    </row>
    <row r="15" spans="1:4">
      <c r="A15" t="s">
        <v>130</v>
      </c>
      <c r="B15" s="44">
        <f>B14/B10</f>
        <v>0.34468553225730852</v>
      </c>
      <c r="C15" s="44">
        <f t="shared" ref="C15:D15" si="3">C14/C10</f>
        <v>0.37288320971679728</v>
      </c>
      <c r="D15" s="44">
        <f t="shared" si="3"/>
        <v>0.30720996989139021</v>
      </c>
    </row>
    <row r="17" spans="1:4">
      <c r="A17" t="s">
        <v>337</v>
      </c>
    </row>
    <row r="19" spans="1:4">
      <c r="A19" t="s">
        <v>338</v>
      </c>
      <c r="B19">
        <f>0</f>
        <v>0</v>
      </c>
      <c r="C19">
        <f>C10-B10</f>
        <v>548.57999999999811</v>
      </c>
      <c r="D19">
        <f>D10-B10</f>
        <v>-548.58000000000175</v>
      </c>
    </row>
    <row r="20" spans="1:4">
      <c r="A20" t="s">
        <v>339</v>
      </c>
      <c r="B20">
        <f>0</f>
        <v>0</v>
      </c>
      <c r="C20">
        <f>C12-B12</f>
        <v>657.73999999999796</v>
      </c>
      <c r="D20">
        <f>D12-B12</f>
        <v>-736.38000000000193</v>
      </c>
    </row>
    <row r="21" spans="1:4">
      <c r="A21" t="s">
        <v>340</v>
      </c>
      <c r="B21">
        <f>0</f>
        <v>0</v>
      </c>
      <c r="C21" s="8">
        <f>C14-B14</f>
        <v>493.30499999999847</v>
      </c>
      <c r="D21" s="8">
        <f>D14-B14</f>
        <v>-552.28500000000167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2566C-B347-476F-ADD3-92A73885AE7B}">
  <dimension ref="A1:B29"/>
  <sheetViews>
    <sheetView workbookViewId="0">
      <selection activeCell="E38" sqref="E38"/>
    </sheetView>
  </sheetViews>
  <sheetFormatPr defaultRowHeight="14.4"/>
  <cols>
    <col min="1" max="1" width="26.6640625" bestFit="1" customWidth="1"/>
    <col min="2" max="2" width="20.77734375" bestFit="1" customWidth="1"/>
  </cols>
  <sheetData>
    <row r="1" spans="1:2">
      <c r="A1" t="s">
        <v>341</v>
      </c>
    </row>
    <row r="2" spans="1:2">
      <c r="A2" t="s">
        <v>342</v>
      </c>
    </row>
    <row r="4" spans="1:2">
      <c r="A4" t="s">
        <v>343</v>
      </c>
      <c r="B4" t="s">
        <v>139</v>
      </c>
    </row>
    <row r="6" spans="1:2">
      <c r="A6" t="s">
        <v>344</v>
      </c>
      <c r="B6">
        <f>10%</f>
        <v>0.1</v>
      </c>
    </row>
    <row r="7" spans="1:2">
      <c r="A7" t="s">
        <v>345</v>
      </c>
      <c r="B7">
        <f>3%</f>
        <v>0.03</v>
      </c>
    </row>
    <row r="8" spans="1:2">
      <c r="A8" t="s">
        <v>174</v>
      </c>
      <c r="B8">
        <f>Model_Assumptions!B11</f>
        <v>0.25</v>
      </c>
    </row>
    <row r="10" spans="1:2">
      <c r="A10" t="s">
        <v>346</v>
      </c>
    </row>
    <row r="12" spans="1:2">
      <c r="A12" t="s">
        <v>284</v>
      </c>
      <c r="B12" t="s">
        <v>272</v>
      </c>
    </row>
    <row r="13" spans="1:2">
      <c r="A13" t="s">
        <v>287</v>
      </c>
      <c r="B13">
        <f>'P&amp;L_Forecast'!B11</f>
        <v>4936.7900000000009</v>
      </c>
    </row>
    <row r="14" spans="1:2">
      <c r="A14" t="s">
        <v>347</v>
      </c>
      <c r="B14" s="8">
        <f>B13*B8</f>
        <v>1234.1975000000002</v>
      </c>
    </row>
    <row r="15" spans="1:2">
      <c r="A15" t="s">
        <v>348</v>
      </c>
      <c r="B15" s="8">
        <f>B13-B14</f>
        <v>3702.5925000000007</v>
      </c>
    </row>
    <row r="16" spans="1:2">
      <c r="A16" t="s">
        <v>286</v>
      </c>
      <c r="B16">
        <f>'P&amp;L_Forecast'!B10</f>
        <v>300</v>
      </c>
    </row>
    <row r="17" spans="1:2">
      <c r="A17" t="s">
        <v>293</v>
      </c>
      <c r="B17">
        <f>ABS(Cash_Flow!B11)</f>
        <v>540</v>
      </c>
    </row>
    <row r="18" spans="1:2">
      <c r="A18" t="s">
        <v>291</v>
      </c>
      <c r="B18" s="8">
        <f>Revenue_Model!D8*Model_Assumptions!B13</f>
        <v>519.02250000000004</v>
      </c>
    </row>
    <row r="19" spans="1:2">
      <c r="A19" t="s">
        <v>349</v>
      </c>
      <c r="B19" s="8">
        <f>B15+B16-B17-B18</f>
        <v>2943.5700000000006</v>
      </c>
    </row>
    <row r="21" spans="1:2">
      <c r="A21" t="s">
        <v>350</v>
      </c>
    </row>
    <row r="23" spans="1:2">
      <c r="A23" t="s">
        <v>351</v>
      </c>
      <c r="B23" s="8">
        <f>B19/(1+$B$6)^1</f>
        <v>2675.9727272727278</v>
      </c>
    </row>
    <row r="24" spans="1:2">
      <c r="A24" t="s">
        <v>352</v>
      </c>
      <c r="B24">
        <f>B19*(1+$B$7)/($B$6-$B$7)</f>
        <v>43312.530000000006</v>
      </c>
    </row>
    <row r="25" spans="1:2">
      <c r="A25" t="s">
        <v>353</v>
      </c>
      <c r="B25" s="8">
        <f>B24/(1+$B$6)^1</f>
        <v>39375.027272727275</v>
      </c>
    </row>
    <row r="26" spans="1:2">
      <c r="A26" t="s">
        <v>354</v>
      </c>
      <c r="B26" s="8">
        <f>B23+B25</f>
        <v>42051</v>
      </c>
    </row>
    <row r="27" spans="1:2">
      <c r="A27" t="s">
        <v>355</v>
      </c>
      <c r="B27">
        <f>Cash_Flow!B14</f>
        <v>300</v>
      </c>
    </row>
    <row r="28" spans="1:2">
      <c r="A28" t="s">
        <v>356</v>
      </c>
      <c r="B28" s="8">
        <f>Cash_Flow!B21</f>
        <v>4168.5700000000006</v>
      </c>
    </row>
    <row r="29" spans="1:2">
      <c r="A29" t="s">
        <v>357</v>
      </c>
      <c r="B29" s="8">
        <f>B26-B27+B28</f>
        <v>45919.57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E25A-1394-4F38-97B0-AD287A59978E}">
  <dimension ref="A1:F17"/>
  <sheetViews>
    <sheetView tabSelected="1" workbookViewId="0">
      <selection activeCell="J16" sqref="J16"/>
    </sheetView>
  </sheetViews>
  <sheetFormatPr defaultRowHeight="14.4"/>
  <cols>
    <col min="1" max="1" width="32" bestFit="1" customWidth="1"/>
  </cols>
  <sheetData>
    <row r="1" spans="1:6">
      <c r="A1" t="s">
        <v>358</v>
      </c>
    </row>
    <row r="2" spans="1:6">
      <c r="A2" t="s">
        <v>359</v>
      </c>
    </row>
    <row r="4" spans="1:6">
      <c r="A4" t="s">
        <v>360</v>
      </c>
    </row>
    <row r="6" spans="1:6">
      <c r="A6" t="s">
        <v>363</v>
      </c>
      <c r="B6" s="84">
        <v>0.02</v>
      </c>
      <c r="C6" s="84">
        <v>2.5000000000000001E-2</v>
      </c>
      <c r="D6" s="84">
        <v>0.03</v>
      </c>
      <c r="E6" s="84">
        <v>3.5000000000000003E-2</v>
      </c>
      <c r="F6" s="84">
        <v>0.04</v>
      </c>
    </row>
    <row r="7" spans="1:6">
      <c r="A7" s="84">
        <v>0.09</v>
      </c>
      <c r="B7">
        <f>(DCF_Valuation!$B$19/(1+$A7))+(((DCF_Valuation!$B$19*(1+B$6))/($A7-B$6))/(1+$A7))-DCF_Valuation!$B$27+DCF_Valuation!$B$28</f>
        <v>45919.570000000007</v>
      </c>
      <c r="C7">
        <f>(DCF_Valuation!$B$19/(1+$A7))+(((DCF_Valuation!$B$19*(1+C$6))/($A7-C$6))/(1+$A7))-DCF_Valuation!$B$27+DCF_Valuation!$B$28</f>
        <v>49154.262307692305</v>
      </c>
      <c r="D7">
        <f>(DCF_Valuation!$B$19/(1+$A7))+(((DCF_Valuation!$B$19*(1+D$6))/($A7-D$6))/(1+$A7))-DCF_Valuation!$B$27+DCF_Valuation!$B$28</f>
        <v>52928.070000000007</v>
      </c>
      <c r="E7">
        <f>(DCF_Valuation!$B$19/(1+$A7))+(((DCF_Valuation!$B$19*(1+E$6))/($A7-E$6))/(1+$A7))-DCF_Valuation!$B$27+DCF_Valuation!$B$28</f>
        <v>57388.024545454558</v>
      </c>
      <c r="F7">
        <f>(DCF_Valuation!$B$19/(1+$A7))+(((DCF_Valuation!$B$19*(1+F$6))/($A7-F$6))/(1+$A7))-DCF_Valuation!$B$27+DCF_Valuation!$B$28</f>
        <v>62739.970000000008</v>
      </c>
    </row>
    <row r="8" spans="1:6">
      <c r="A8" s="84">
        <v>9.5000000000000001E-2</v>
      </c>
      <c r="B8">
        <f>(DCF_Valuation!$B$19/(1+$A8))+(((DCF_Valuation!$B$19*(1+B$6))/($A8-B$6))/(1+$A8))-DCF_Valuation!$B$27+DCF_Valuation!$B$28</f>
        <v>43116.170000000006</v>
      </c>
      <c r="C8">
        <f>(DCF_Valuation!$B$19/(1+$A8))+(((DCF_Valuation!$B$19*(1+C$6))/($A8-C$6))/(1+$A8))-DCF_Valuation!$B$27+DCF_Valuation!$B$28</f>
        <v>45919.57</v>
      </c>
      <c r="D8">
        <f>(DCF_Valuation!$B$19/(1+$A8))+(((DCF_Valuation!$B$19*(1+D$6))/($A8-D$6))/(1+$A8))-DCF_Valuation!$B$27+DCF_Valuation!$B$28</f>
        <v>49154.262307692312</v>
      </c>
      <c r="E8">
        <f>(DCF_Valuation!$B$19/(1+$A8))+(((DCF_Valuation!$B$19*(1+E$6))/($A8-E$6))/(1+$A8))-DCF_Valuation!$B$27+DCF_Valuation!$B$28</f>
        <v>52928.070000000014</v>
      </c>
      <c r="F8">
        <f>(DCF_Valuation!$B$19/(1+$A8))+(((DCF_Valuation!$B$19*(1+F$6))/($A8-F$6))/(1+$A8))-DCF_Valuation!$B$27+DCF_Valuation!$B$28</f>
        <v>57388.024545454558</v>
      </c>
    </row>
    <row r="9" spans="1:6">
      <c r="A9" s="84">
        <v>0.1</v>
      </c>
      <c r="B9">
        <f>(DCF_Valuation!$B$19/(1+$A9))+(((DCF_Valuation!$B$19*(1+B$6))/($A9-B$6))/(1+$A9))-DCF_Valuation!$B$27+DCF_Valuation!$B$28</f>
        <v>40663.195</v>
      </c>
      <c r="C9">
        <f>(DCF_Valuation!$B$19/(1+$A9))+(((DCF_Valuation!$B$19*(1+C$6))/($A9-C$6))/(1+$A9))-DCF_Valuation!$B$27+DCF_Valuation!$B$28</f>
        <v>43116.169999999991</v>
      </c>
      <c r="D9">
        <f>(DCF_Valuation!$B$19/(1+$A9))+(((DCF_Valuation!$B$19*(1+D$6))/($A9-D$6))/(1+$A9))-DCF_Valuation!$B$27+DCF_Valuation!$B$28</f>
        <v>45919.57</v>
      </c>
      <c r="E9">
        <f>(DCF_Valuation!$B$19/(1+$A9))+(((DCF_Valuation!$B$19*(1+E$6))/($A9-E$6))/(1+$A9))-DCF_Valuation!$B$27+DCF_Valuation!$B$28</f>
        <v>49154.262307692312</v>
      </c>
      <c r="F9">
        <f>(DCF_Valuation!$B$19/(1+$A9))+(((DCF_Valuation!$B$19*(1+F$6))/($A9-F$6))/(1+$A9))-DCF_Valuation!$B$27+DCF_Valuation!$B$28</f>
        <v>52928.07</v>
      </c>
    </row>
    <row r="10" spans="1:6">
      <c r="A10" s="84">
        <v>0.105</v>
      </c>
      <c r="B10">
        <f>(DCF_Valuation!$B$19/(1+$A10))+(((DCF_Valuation!$B$19*(1+B$6))/($A10-B$6))/(1+$A10))-DCF_Valuation!$B$27+DCF_Valuation!$B$28</f>
        <v>38498.805294117657</v>
      </c>
      <c r="C10">
        <f>(DCF_Valuation!$B$19/(1+$A10))+(((DCF_Valuation!$B$19*(1+C$6))/($A10-C$6))/(1+$A10))-DCF_Valuation!$B$27+DCF_Valuation!$B$28</f>
        <v>40663.195000000007</v>
      </c>
      <c r="D10">
        <f>(DCF_Valuation!$B$19/(1+$A10))+(((DCF_Valuation!$B$19*(1+D$6))/($A10-D$6))/(1+$A10))-DCF_Valuation!$B$27+DCF_Valuation!$B$28</f>
        <v>43116.170000000013</v>
      </c>
      <c r="E10">
        <f>(DCF_Valuation!$B$19/(1+$A10))+(((DCF_Valuation!$B$19*(1+E$6))/($A10-E$6))/(1+$A10))-DCF_Valuation!$B$27+DCF_Valuation!$B$28</f>
        <v>45919.570000000007</v>
      </c>
      <c r="F10">
        <f>(DCF_Valuation!$B$19/(1+$A10))+(((DCF_Valuation!$B$19*(1+F$6))/($A10-F$6))/(1+$A10))-DCF_Valuation!$B$27+DCF_Valuation!$B$28</f>
        <v>49154.262307692319</v>
      </c>
    </row>
    <row r="11" spans="1:6">
      <c r="A11" s="84">
        <v>0.11</v>
      </c>
      <c r="B11">
        <f>(DCF_Valuation!$B$19/(1+$A11))+(((DCF_Valuation!$B$19*(1+B$6))/($A11-B$6))/(1+$A11))-DCF_Valuation!$B$27+DCF_Valuation!$B$28</f>
        <v>36574.903333333335</v>
      </c>
      <c r="C11">
        <f>(DCF_Valuation!$B$19/(1+$A11))+(((DCF_Valuation!$B$19*(1+C$6))/($A11-C$6))/(1+$A11))-DCF_Valuation!$B$27+DCF_Valuation!$B$28</f>
        <v>38498.805294117643</v>
      </c>
      <c r="D11">
        <f>(DCF_Valuation!$B$19/(1+$A11))+(((DCF_Valuation!$B$19*(1+D$6))/($A11-D$6))/(1+$A11))-DCF_Valuation!$B$27+DCF_Valuation!$B$28</f>
        <v>40663.195000000007</v>
      </c>
      <c r="E11">
        <f>(DCF_Valuation!$B$19/(1+$A11))+(((DCF_Valuation!$B$19*(1+E$6))/($A11-E$6))/(1+$A11))-DCF_Valuation!$B$27+DCF_Valuation!$B$28</f>
        <v>43116.170000000006</v>
      </c>
      <c r="F11">
        <f>(DCF_Valuation!$B$19/(1+$A11))+(((DCF_Valuation!$B$19*(1+F$6))/($A11-F$6))/(1+$A11))-DCF_Valuation!$B$27+DCF_Valuation!$B$28</f>
        <v>45919.57</v>
      </c>
    </row>
    <row r="13" spans="1:6">
      <c r="A13" t="s">
        <v>361</v>
      </c>
    </row>
    <row r="15" spans="1:6">
      <c r="A15" t="s">
        <v>344</v>
      </c>
      <c r="B15" s="84">
        <v>0.1</v>
      </c>
    </row>
    <row r="16" spans="1:6">
      <c r="A16" t="s">
        <v>345</v>
      </c>
      <c r="B16" s="84">
        <v>0.03</v>
      </c>
    </row>
    <row r="17" spans="1:2">
      <c r="A17" t="s">
        <v>362</v>
      </c>
      <c r="B17">
        <v>45919.57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XYZ_RAW</vt:lpstr>
      <vt:lpstr>Data_Validation</vt:lpstr>
      <vt:lpstr>Data_Profiling</vt:lpstr>
      <vt:lpstr>Budget_Assumptions</vt:lpstr>
      <vt:lpstr>FY2027_Budget</vt:lpstr>
      <vt:lpstr>FY2027_Actuals</vt:lpstr>
      <vt:lpstr>Actual_vs_Budget</vt:lpstr>
      <vt:lpstr>FP&amp;A Dashboard</vt:lpstr>
      <vt:lpstr>Model_Assumptions</vt:lpstr>
      <vt:lpstr>Revenue_Model</vt:lpstr>
      <vt:lpstr>Cost_Model</vt:lpstr>
      <vt:lpstr>P&amp;L_Forecast</vt:lpstr>
      <vt:lpstr>Cash_Flow</vt:lpstr>
      <vt:lpstr>Balance Sheet</vt:lpstr>
      <vt:lpstr>3-Statement Model</vt:lpstr>
      <vt:lpstr>Scenario Analysis</vt:lpstr>
      <vt:lpstr>DCF_Valuation</vt:lpstr>
      <vt:lpstr>DCF_Sensitivity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navin joshi</dc:creator>
  <cp:lastModifiedBy>navin joshi</cp:lastModifiedBy>
  <dcterms:created xsi:type="dcterms:W3CDTF">2026-09-20T08:05:11Z</dcterms:created>
  <dcterms:modified xsi:type="dcterms:W3CDTF">2026-09-24T10:06:26Z</dcterms:modified>
</cp:coreProperties>
</file>